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morphic" sheetId="1" r:id="rId4"/>
  </sheets>
  <definedNames>
    <definedName hidden="1" localSheetId="0" name="_xlnm._FilterDatabase">metamorphic!$A$1:$EZ$458</definedName>
  </definedNames>
  <calcPr/>
  <extLst>
    <ext uri="GoogleSheetsCustomDataVersion2">
      <go:sheetsCustomData xmlns:go="http://customooxmlschemas.google.com/" r:id="rId5" roundtripDataChecksum="5lkMVKjF/96UWXzWxZMuBr7/SuIS3NZANGDRyiDgDfA="/>
    </ext>
  </extLst>
</workbook>
</file>

<file path=xl/sharedStrings.xml><?xml version="1.0" encoding="utf-8"?>
<sst xmlns="http://schemas.openxmlformats.org/spreadsheetml/2006/main" count="10302" uniqueCount="678">
  <si>
    <t>ISic</t>
  </si>
  <si>
    <t>Ancient place</t>
  </si>
  <si>
    <t>Date after</t>
  </si>
  <si>
    <t>Date before</t>
  </si>
  <si>
    <t>Type of text</t>
  </si>
  <si>
    <t>Execution</t>
  </si>
  <si>
    <t>Language</t>
  </si>
  <si>
    <t>Link to image</t>
  </si>
  <si>
    <t>Museum</t>
  </si>
  <si>
    <t xml:space="preserve">ref </t>
  </si>
  <si>
    <t>most likely (1 option only)</t>
  </si>
  <si>
    <t>likely (3 options max, the most likely first)</t>
  </si>
  <si>
    <t>possibly (up to 6 options, in alphabetical order)</t>
  </si>
  <si>
    <t>subtype</t>
  </si>
  <si>
    <t>Locality name</t>
  </si>
  <si>
    <t>notes</t>
  </si>
  <si>
    <t xml:space="preserve">text description e.g. fine-grained grey marble </t>
  </si>
  <si>
    <t>visually assessed granulometry (very fine &lt; 1mm; fine &lt; 2mm; medium 2-5mm; coarse &gt; 5mm)</t>
  </si>
  <si>
    <t xml:space="preserve">visually assessed colour </t>
  </si>
  <si>
    <t>banded and/or veined</t>
  </si>
  <si>
    <t>visually assessed colour of veins/bands</t>
  </si>
  <si>
    <t>smell</t>
  </si>
  <si>
    <t>digital microscopy?</t>
  </si>
  <si>
    <t>digital microscopy MGS (mm)</t>
  </si>
  <si>
    <t>digital microscopy fabric</t>
  </si>
  <si>
    <t>digital microscopy GBS</t>
  </si>
  <si>
    <t>digital microscopy triple points</t>
  </si>
  <si>
    <t>optical microscopy?</t>
  </si>
  <si>
    <t>optical microscopy MGS (mm)</t>
  </si>
  <si>
    <t>optical microscopy  fabric</t>
  </si>
  <si>
    <t>optical microscopy GBS</t>
  </si>
  <si>
    <t>optical microscopy triple points</t>
  </si>
  <si>
    <t>microscopy mosaic</t>
  </si>
  <si>
    <t>microscopy mortar</t>
  </si>
  <si>
    <t>microscopy lineated</t>
  </si>
  <si>
    <t>microscopy porphyroblasts</t>
  </si>
  <si>
    <t>microscopy fine grained areas</t>
  </si>
  <si>
    <t>microscopy strained crystals</t>
  </si>
  <si>
    <t>XRD?</t>
  </si>
  <si>
    <t>XRD carbonate content (%)</t>
  </si>
  <si>
    <t>Calcite</t>
  </si>
  <si>
    <t>Magnesian calcite</t>
  </si>
  <si>
    <t>Dolomite</t>
  </si>
  <si>
    <t>Aragonite</t>
  </si>
  <si>
    <t>Quartz</t>
  </si>
  <si>
    <t>Fe-oxihydroxides</t>
  </si>
  <si>
    <t>Clay Minerals</t>
  </si>
  <si>
    <t>Alkali_Feldspars</t>
  </si>
  <si>
    <t>Plagioclases</t>
  </si>
  <si>
    <t>Pyroxenes</t>
  </si>
  <si>
    <t>Sulphates</t>
  </si>
  <si>
    <t>Sulphides</t>
  </si>
  <si>
    <t>Olivine</t>
  </si>
  <si>
    <t>Graphite</t>
  </si>
  <si>
    <t>other</t>
  </si>
  <si>
    <t xml:space="preserve">XRD cell parameter a (nm) </t>
  </si>
  <si>
    <t>XRD cell parameter a (nm) +-</t>
  </si>
  <si>
    <t>XRD cell parameter c (nm)</t>
  </si>
  <si>
    <t>XRD cell parameters c (nm) +-</t>
  </si>
  <si>
    <t>pXRF?</t>
  </si>
  <si>
    <t>CaO</t>
  </si>
  <si>
    <t>SiO2</t>
  </si>
  <si>
    <t>K2O</t>
  </si>
  <si>
    <t>Fe2O3</t>
  </si>
  <si>
    <t>As</t>
  </si>
  <si>
    <t>Au</t>
  </si>
  <si>
    <t>Co</t>
  </si>
  <si>
    <t>Cr</t>
  </si>
  <si>
    <t>Cu</t>
  </si>
  <si>
    <t>Fe</t>
  </si>
  <si>
    <t>Hg</t>
  </si>
  <si>
    <t>Mn</t>
  </si>
  <si>
    <t>Nb</t>
  </si>
  <si>
    <t>Pb</t>
  </si>
  <si>
    <t>Rb</t>
  </si>
  <si>
    <t>Sr</t>
  </si>
  <si>
    <t>Th</t>
  </si>
  <si>
    <t>Ti</t>
  </si>
  <si>
    <t>Y</t>
  </si>
  <si>
    <t>Zn</t>
  </si>
  <si>
    <t>Zr</t>
  </si>
  <si>
    <t>microscopy / XRD / EPR: dolomite</t>
  </si>
  <si>
    <t>microscopy / XRD: plagioclase</t>
  </si>
  <si>
    <t>microscopy / XRD: rutile</t>
  </si>
  <si>
    <t>microscopy / XRD: pyrite</t>
  </si>
  <si>
    <t>microscopy / XRD: magnetite</t>
  </si>
  <si>
    <t>microscopy / XRD: amphibole</t>
  </si>
  <si>
    <t>microscopy / XRD: titanite</t>
  </si>
  <si>
    <t>microscopy / XRD: zircon</t>
  </si>
  <si>
    <t>microscopy / XRD: serpentine</t>
  </si>
  <si>
    <t>microscopy / XRD: chlorite</t>
  </si>
  <si>
    <t>microscopy / XRD: epidote</t>
  </si>
  <si>
    <t>microscopy / XRD: quartz</t>
  </si>
  <si>
    <t>microscopy / XRD: K mica</t>
  </si>
  <si>
    <t>microscopy / XRD: Na mica</t>
  </si>
  <si>
    <t>microscopy / XRD: Fe ore</t>
  </si>
  <si>
    <t>microscopy / XRD: gypsum</t>
  </si>
  <si>
    <t>microscopy / XRD: graphite</t>
  </si>
  <si>
    <t>microscopy / XRD: apatite</t>
  </si>
  <si>
    <t>isotopes?</t>
  </si>
  <si>
    <t>isotopes delta13C</t>
  </si>
  <si>
    <t>isotopes delta18O</t>
  </si>
  <si>
    <t>EPR?</t>
  </si>
  <si>
    <t>EPR Mn2+ ave</t>
  </si>
  <si>
    <t>EPR Mn2+ stdevp</t>
  </si>
  <si>
    <t>EPR dolomite %</t>
  </si>
  <si>
    <t>EPR width ave</t>
  </si>
  <si>
    <t>EPR width stdevp</t>
  </si>
  <si>
    <t>EPR g=2.0044 ave</t>
  </si>
  <si>
    <t>EPR g=2.0044 stdevp</t>
  </si>
  <si>
    <t>EPR g=14.2515 ave</t>
  </si>
  <si>
    <t>EPR g=14.2515 stdevp</t>
  </si>
  <si>
    <t>LA-ICP-MS?</t>
  </si>
  <si>
    <t>Li 7_2_2_1_1</t>
  </si>
  <si>
    <t>B 11_2_2_1_1</t>
  </si>
  <si>
    <t>Na 23_2_1_1</t>
  </si>
  <si>
    <t>Mg 24_2_1_1</t>
  </si>
  <si>
    <t>Sc 45_2_1_1</t>
  </si>
  <si>
    <t>Ti 47_2_1_1</t>
  </si>
  <si>
    <t>V 51_2_1_1</t>
  </si>
  <si>
    <t>Cr 52_2_1_1</t>
  </si>
  <si>
    <t>Mn 55_2_1_1</t>
  </si>
  <si>
    <t>Fe 57_2_1_1</t>
  </si>
  <si>
    <t>Co 59_2_1_1</t>
  </si>
  <si>
    <t>Ni 60_2_1_1</t>
  </si>
  <si>
    <t>Cu 63_2_1_1</t>
  </si>
  <si>
    <t>Zn 66_2_1_1</t>
  </si>
  <si>
    <t>Ga 69_2_1_1</t>
  </si>
  <si>
    <t>As 75_2_1_1</t>
  </si>
  <si>
    <t>Rb 85_2_1_1</t>
  </si>
  <si>
    <t>Sr 88_2_1_1</t>
  </si>
  <si>
    <t>Y 89_2_1_1</t>
  </si>
  <si>
    <t>Zr 90_2_1_1</t>
  </si>
  <si>
    <t>Nb 93_2_1_1</t>
  </si>
  <si>
    <t>Mo 98_2_1_1</t>
  </si>
  <si>
    <t>Cd 111_2_1_1</t>
  </si>
  <si>
    <t>Sb 121_2_1_1</t>
  </si>
  <si>
    <t>Cs 133_2_1_1</t>
  </si>
  <si>
    <t>Ba 138_2_1_1</t>
  </si>
  <si>
    <t>La 139_2_1_1</t>
  </si>
  <si>
    <t>Ce 140_2_1_1</t>
  </si>
  <si>
    <t>Nd 142_2_1_1</t>
  </si>
  <si>
    <t>Sm 152_2_1_1</t>
  </si>
  <si>
    <t>Eu 153_2_1_1</t>
  </si>
  <si>
    <t>Gd 158_2_1_1</t>
  </si>
  <si>
    <t>Dy 164_2_1_1</t>
  </si>
  <si>
    <t>Er 166_2_1_1</t>
  </si>
  <si>
    <t>Yb 174_2_1_1</t>
  </si>
  <si>
    <t>Hf 180_2_1_1</t>
  </si>
  <si>
    <t>W 184_2_1_1</t>
  </si>
  <si>
    <t>Pb 208_2_1_1</t>
  </si>
  <si>
    <t>Bi 209_2_1_1</t>
  </si>
  <si>
    <t>Th 232_2_1_1</t>
  </si>
  <si>
    <t>U 238_2_1_1</t>
  </si>
  <si>
    <t xml:space="preserve">AAA </t>
  </si>
  <si>
    <t xml:space="preserve">from XML </t>
  </si>
  <si>
    <t xml:space="preserve">REF </t>
  </si>
  <si>
    <t>MANUAL INPUT</t>
  </si>
  <si>
    <t>concatenate function</t>
  </si>
  <si>
    <t>sum function of Calcite, Magnesian calcite and Dolomite</t>
  </si>
  <si>
    <t>XRD TOOL (category in Mineral categories.xslx)</t>
  </si>
  <si>
    <t>XRF TOOL (header in pXRF_calculated_fractions_mean.xlsx)</t>
  </si>
  <si>
    <t>REF</t>
  </si>
  <si>
    <t>CU431</t>
  </si>
  <si>
    <t/>
  </si>
  <si>
    <t>check</t>
  </si>
  <si>
    <t>yes</t>
  </si>
  <si>
    <t>CU477</t>
  </si>
  <si>
    <t>CU478</t>
  </si>
  <si>
    <t>EXMFT003</t>
  </si>
  <si>
    <t>EXMFT013</t>
  </si>
  <si>
    <t>EXMFT060</t>
  </si>
  <si>
    <t>EXMFT070</t>
  </si>
  <si>
    <t>EXMFT071</t>
  </si>
  <si>
    <t>EXMFT096</t>
  </si>
  <si>
    <t>EXMFT109</t>
  </si>
  <si>
    <t>EXMFT112</t>
  </si>
  <si>
    <t>EXMFT134</t>
  </si>
  <si>
    <t>ICT006</t>
  </si>
  <si>
    <t>ISic000003</t>
  </si>
  <si>
    <t>fine</t>
  </si>
  <si>
    <t>grey</t>
  </si>
  <si>
    <t>banded</t>
  </si>
  <si>
    <t>he</t>
  </si>
  <si>
    <t>c</t>
  </si>
  <si>
    <t>ISic000004</t>
  </si>
  <si>
    <t>y</t>
  </si>
  <si>
    <t>Hymettan</t>
  </si>
  <si>
    <t>very fine</t>
  </si>
  <si>
    <t>white</t>
  </si>
  <si>
    <t>no</t>
  </si>
  <si>
    <t>he/ho</t>
  </si>
  <si>
    <t>e, c</t>
  </si>
  <si>
    <t>ISic000006</t>
  </si>
  <si>
    <t>homogeneous</t>
  </si>
  <si>
    <t>none</t>
  </si>
  <si>
    <t>ho</t>
  </si>
  <si>
    <t>ISic000027</t>
  </si>
  <si>
    <t>c, e</t>
  </si>
  <si>
    <t>c, e, s</t>
  </si>
  <si>
    <t>ISic000034</t>
  </si>
  <si>
    <t>Parian-2</t>
  </si>
  <si>
    <t>ISic000036</t>
  </si>
  <si>
    <t>Parian-1</t>
  </si>
  <si>
    <t>OOR isotopes</t>
  </si>
  <si>
    <t>medium</t>
  </si>
  <si>
    <t>veined</t>
  </si>
  <si>
    <t>c, s</t>
  </si>
  <si>
    <t>ISic000037</t>
  </si>
  <si>
    <t>ho/he</t>
  </si>
  <si>
    <t>ISic000046</t>
  </si>
  <si>
    <t>ISic000056</t>
  </si>
  <si>
    <t>ISic000065</t>
  </si>
  <si>
    <t>e</t>
  </si>
  <si>
    <t>ISic000068</t>
  </si>
  <si>
    <t>Parian-1, Parian-2, Proconnesian</t>
  </si>
  <si>
    <t>veined and banded</t>
  </si>
  <si>
    <t>ISic000069</t>
  </si>
  <si>
    <t>Proconnesian</t>
  </si>
  <si>
    <t>na</t>
  </si>
  <si>
    <t>su, e</t>
  </si>
  <si>
    <t>ISic000097</t>
  </si>
  <si>
    <t>coarse</t>
  </si>
  <si>
    <t>1.4</t>
  </si>
  <si>
    <t>ISic000104</t>
  </si>
  <si>
    <t>Lunense</t>
  </si>
  <si>
    <t>white/whitish</t>
  </si>
  <si>
    <t>0.8</t>
  </si>
  <si>
    <t>s</t>
  </si>
  <si>
    <t>0.49825</t>
  </si>
  <si>
    <t>1.70309</t>
  </si>
  <si>
    <t>ISic000107</t>
  </si>
  <si>
    <t>ISic000121</t>
  </si>
  <si>
    <t>black</t>
  </si>
  <si>
    <t>mica (clorite?)</t>
  </si>
  <si>
    <t xml:space="preserve">ISic000132 </t>
  </si>
  <si>
    <t>ISic000139</t>
  </si>
  <si>
    <t>ISic000148</t>
  </si>
  <si>
    <t>Hymettan, Parian-1</t>
  </si>
  <si>
    <t>ISic000151</t>
  </si>
  <si>
    <t>ISic000154</t>
  </si>
  <si>
    <t>ISic000161</t>
  </si>
  <si>
    <t>ISic000162</t>
  </si>
  <si>
    <t>banded and veined</t>
  </si>
  <si>
    <t>grey to black</t>
  </si>
  <si>
    <t>s, c</t>
  </si>
  <si>
    <t>ISic000163</t>
  </si>
  <si>
    <t>very fine grained, strange texture</t>
  </si>
  <si>
    <t>brown</t>
  </si>
  <si>
    <t>ISic000164</t>
  </si>
  <si>
    <t>ISic000172</t>
  </si>
  <si>
    <t xml:space="preserve">grey </t>
  </si>
  <si>
    <t>ISic000178</t>
  </si>
  <si>
    <t>ISic000181</t>
  </si>
  <si>
    <t>dark grey</t>
  </si>
  <si>
    <t>ISic000184</t>
  </si>
  <si>
    <t>ISic000195</t>
  </si>
  <si>
    <t>ISic000207</t>
  </si>
  <si>
    <t>Docimian, Pentelic</t>
  </si>
  <si>
    <t>quartz (rounded)</t>
  </si>
  <si>
    <t>ISic000208</t>
  </si>
  <si>
    <t>ISic000216</t>
  </si>
  <si>
    <t>ISic000220</t>
  </si>
  <si>
    <t>ISic000227</t>
  </si>
  <si>
    <t>ISic000229</t>
  </si>
  <si>
    <t>white, dark grey</t>
  </si>
  <si>
    <t>ISic000232</t>
  </si>
  <si>
    <t>scritto</t>
  </si>
  <si>
    <t>Filfila</t>
  </si>
  <si>
    <t xml:space="preserve">c </t>
  </si>
  <si>
    <t>s, e</t>
  </si>
  <si>
    <t>ISic000281</t>
  </si>
  <si>
    <t>ISic000297</t>
  </si>
  <si>
    <t>ISic000298</t>
  </si>
  <si>
    <t>ISic000307</t>
  </si>
  <si>
    <t>ISic000308</t>
  </si>
  <si>
    <t>ISic000315</t>
  </si>
  <si>
    <t>ISic000316</t>
  </si>
  <si>
    <t>ISic000330</t>
  </si>
  <si>
    <t>ISic000337</t>
  </si>
  <si>
    <t>ISic000340</t>
  </si>
  <si>
    <t>whitish</t>
  </si>
  <si>
    <t>ISic000366</t>
  </si>
  <si>
    <t>Lunense, Docimian, Goktepe, Pentelic</t>
  </si>
  <si>
    <t>out of all isotopes range</t>
  </si>
  <si>
    <t>ISic000368</t>
  </si>
  <si>
    <t>ISic000378</t>
  </si>
  <si>
    <t>ISic000383</t>
  </si>
  <si>
    <t>ISic000401</t>
  </si>
  <si>
    <t>ISic000404</t>
  </si>
  <si>
    <t>ISic000408</t>
  </si>
  <si>
    <t xml:space="preserve">Docimian, Pentelic </t>
  </si>
  <si>
    <t>no reasonable match betwwen mgs and isotopes</t>
  </si>
  <si>
    <t>ISic000413</t>
  </si>
  <si>
    <t>ISic000417</t>
  </si>
  <si>
    <t>ISic000438</t>
  </si>
  <si>
    <t>ISic000439</t>
  </si>
  <si>
    <t>Proconnesian, Docimian</t>
  </si>
  <si>
    <t>ISic000442</t>
  </si>
  <si>
    <t>ISic000446</t>
  </si>
  <si>
    <t>ISic000456</t>
  </si>
  <si>
    <t>ISic000458</t>
  </si>
  <si>
    <t>ISic000460</t>
  </si>
  <si>
    <t>ISic000470</t>
  </si>
  <si>
    <t>ISic000579</t>
  </si>
  <si>
    <t>ISic000649</t>
  </si>
  <si>
    <t>ISic000655</t>
  </si>
  <si>
    <t>ISic000656</t>
  </si>
  <si>
    <t>ISic000662</t>
  </si>
  <si>
    <t>ISic000672</t>
  </si>
  <si>
    <t>ISic000674</t>
  </si>
  <si>
    <t>spotted</t>
  </si>
  <si>
    <t>green</t>
  </si>
  <si>
    <t>ISic000676</t>
  </si>
  <si>
    <t>ISic000677</t>
  </si>
  <si>
    <t>ISic000678</t>
  </si>
  <si>
    <t>ISic000679</t>
  </si>
  <si>
    <t>ISic000680</t>
  </si>
  <si>
    <t>ISic000681</t>
  </si>
  <si>
    <t>ISic000682</t>
  </si>
  <si>
    <t>ISic000689</t>
  </si>
  <si>
    <t>ISic000691</t>
  </si>
  <si>
    <t>ISic000692</t>
  </si>
  <si>
    <t>ISic000694</t>
  </si>
  <si>
    <t>ISic000699</t>
  </si>
  <si>
    <t>ISic000701</t>
  </si>
  <si>
    <t>ISic000704</t>
  </si>
  <si>
    <t>ISic000709</t>
  </si>
  <si>
    <t>ISic000711</t>
  </si>
  <si>
    <t>ISic000725</t>
  </si>
  <si>
    <t>Thasian-3</t>
  </si>
  <si>
    <t>dolomitic</t>
  </si>
  <si>
    <t>ISic000728</t>
  </si>
  <si>
    <t>ISic000729</t>
  </si>
  <si>
    <t>ISic000768</t>
  </si>
  <si>
    <t>ISic000769</t>
  </si>
  <si>
    <t>deep grey</t>
  </si>
  <si>
    <t>ISic000781</t>
  </si>
  <si>
    <t>ISic000786</t>
  </si>
  <si>
    <t>ISic000794</t>
  </si>
  <si>
    <t>spotted and veined</t>
  </si>
  <si>
    <t>ISic000801</t>
  </si>
  <si>
    <t>ISic000802</t>
  </si>
  <si>
    <t>ISic000804</t>
  </si>
  <si>
    <t>orangish</t>
  </si>
  <si>
    <t>ISic000805</t>
  </si>
  <si>
    <t>orangish, silvery</t>
  </si>
  <si>
    <t>ISic000821</t>
  </si>
  <si>
    <t>ISic000832</t>
  </si>
  <si>
    <t>ISic000833</t>
  </si>
  <si>
    <t>ISic000846</t>
  </si>
  <si>
    <t>ISic000871</t>
  </si>
  <si>
    <t>with dolomite</t>
  </si>
  <si>
    <t>ISic000879</t>
  </si>
  <si>
    <t>ISic000892</t>
  </si>
  <si>
    <t>ISic000896</t>
  </si>
  <si>
    <t>ISic000903</t>
  </si>
  <si>
    <t>ISic000905</t>
  </si>
  <si>
    <t>ISic000909</t>
  </si>
  <si>
    <t>ISic000944</t>
  </si>
  <si>
    <t>ISic000951</t>
  </si>
  <si>
    <t>ISic000953</t>
  </si>
  <si>
    <t>ISic000964</t>
  </si>
  <si>
    <t>ISic000968</t>
  </si>
  <si>
    <t>ISic000974</t>
  </si>
  <si>
    <t>ISic000975</t>
  </si>
  <si>
    <t>ISic000978</t>
  </si>
  <si>
    <t>ISic000981</t>
  </si>
  <si>
    <t>scritto (Ephesos)</t>
  </si>
  <si>
    <t>ISic000983</t>
  </si>
  <si>
    <t>ISic000985</t>
  </si>
  <si>
    <t>ISic000987</t>
  </si>
  <si>
    <t>ISic000997</t>
  </si>
  <si>
    <t>ISic001008</t>
  </si>
  <si>
    <t>purple</t>
  </si>
  <si>
    <t>c,s</t>
  </si>
  <si>
    <t>ISic001009</t>
  </si>
  <si>
    <t>ISic001015</t>
  </si>
  <si>
    <t>ISic001035</t>
  </si>
  <si>
    <t>ISic001040</t>
  </si>
  <si>
    <t>ISic001116</t>
  </si>
  <si>
    <t>ISic001120</t>
  </si>
  <si>
    <t>Parian-1, Parian-2</t>
  </si>
  <si>
    <t xml:space="preserve">he </t>
  </si>
  <si>
    <t>e, s</t>
  </si>
  <si>
    <t>ISic001135</t>
  </si>
  <si>
    <t>yellowish</t>
  </si>
  <si>
    <t>ISic001140</t>
  </si>
  <si>
    <t>ISic001143</t>
  </si>
  <si>
    <t>ISic001158</t>
  </si>
  <si>
    <t>ISic001256</t>
  </si>
  <si>
    <t>ISic001269</t>
  </si>
  <si>
    <t>ISic001279-6</t>
  </si>
  <si>
    <t>ISic001279-7</t>
  </si>
  <si>
    <t>ISic001299</t>
  </si>
  <si>
    <t>ISic001308</t>
  </si>
  <si>
    <t>ISic001314</t>
  </si>
  <si>
    <t>ISic001323</t>
  </si>
  <si>
    <t>ISic001344</t>
  </si>
  <si>
    <t>ISic001355</t>
  </si>
  <si>
    <t>ISic001359</t>
  </si>
  <si>
    <t>ISic001362</t>
  </si>
  <si>
    <t>ISic001399</t>
  </si>
  <si>
    <t>muscovite</t>
  </si>
  <si>
    <t>green and grey</t>
  </si>
  <si>
    <t>ISic001425</t>
  </si>
  <si>
    <t>ISic001435</t>
  </si>
  <si>
    <t>Basile and Lazzarini 2012</t>
  </si>
  <si>
    <t>Naxian</t>
  </si>
  <si>
    <t>naxian</t>
  </si>
  <si>
    <t>ISic001514</t>
  </si>
  <si>
    <t>ISic001520</t>
  </si>
  <si>
    <t>ISic001523</t>
  </si>
  <si>
    <t>silver</t>
  </si>
  <si>
    <t>ISic001528</t>
  </si>
  <si>
    <t>ISic001531</t>
  </si>
  <si>
    <t>ISic001535</t>
  </si>
  <si>
    <t>ISic001543</t>
  </si>
  <si>
    <t>ISic001544</t>
  </si>
  <si>
    <t>ISic001547</t>
  </si>
  <si>
    <t>ISic001579</t>
  </si>
  <si>
    <t>ISic001581</t>
  </si>
  <si>
    <t>ISic001643</t>
  </si>
  <si>
    <t>ISic001644</t>
  </si>
  <si>
    <t>ISic001649</t>
  </si>
  <si>
    <t>ISic001653</t>
  </si>
  <si>
    <t>ISic001659</t>
  </si>
  <si>
    <t>grey, cipollino</t>
  </si>
  <si>
    <t>dark green</t>
  </si>
  <si>
    <t>ISic001669</t>
  </si>
  <si>
    <t>ISic001706</t>
  </si>
  <si>
    <t>ISic001758</t>
  </si>
  <si>
    <t>ISic001759</t>
  </si>
  <si>
    <t>ISic001764</t>
  </si>
  <si>
    <t>altered</t>
  </si>
  <si>
    <t>ISic001774</t>
  </si>
  <si>
    <t>ISic001794</t>
  </si>
  <si>
    <t>ISic001796</t>
  </si>
  <si>
    <t>ISic001798</t>
  </si>
  <si>
    <t>e, su</t>
  </si>
  <si>
    <t>ISic001800</t>
  </si>
  <si>
    <t>Proconnesian, Parian-2</t>
  </si>
  <si>
    <t>ISic001802</t>
  </si>
  <si>
    <t>ISic001803</t>
  </si>
  <si>
    <t>ISic001822</t>
  </si>
  <si>
    <t>ISic001823</t>
  </si>
  <si>
    <t>ISic001824</t>
  </si>
  <si>
    <t>muscovite+chlinoclore</t>
  </si>
  <si>
    <t>ISic001831</t>
  </si>
  <si>
    <t>ISic001837</t>
  </si>
  <si>
    <t>ISic001838</t>
  </si>
  <si>
    <t>ISic001839</t>
  </si>
  <si>
    <t>c,e</t>
  </si>
  <si>
    <t>ISic001841</t>
  </si>
  <si>
    <t>ISic001842</t>
  </si>
  <si>
    <t>ISic001845</t>
  </si>
  <si>
    <t>ISic001846</t>
  </si>
  <si>
    <t>ISic001847</t>
  </si>
  <si>
    <t>ISic001851</t>
  </si>
  <si>
    <t>no overlap in isotopes but mgs has no match</t>
  </si>
  <si>
    <t>ISic001852</t>
  </si>
  <si>
    <t>ISic001853</t>
  </si>
  <si>
    <t>Parian-1, Lunense</t>
  </si>
  <si>
    <t>ISic001888</t>
  </si>
  <si>
    <t>ISic001903</t>
  </si>
  <si>
    <t>ISic001907gr</t>
  </si>
  <si>
    <t>in progress</t>
  </si>
  <si>
    <t>ISic001907wh</t>
  </si>
  <si>
    <t>ISic001909</t>
  </si>
  <si>
    <t>ISic001910</t>
  </si>
  <si>
    <t>ISic001911</t>
  </si>
  <si>
    <t>ISic001913</t>
  </si>
  <si>
    <t>ISic001914</t>
  </si>
  <si>
    <t>ISic001915</t>
  </si>
  <si>
    <t>veined and spotted</t>
  </si>
  <si>
    <t>ISic001916</t>
  </si>
  <si>
    <t>ISic001917</t>
  </si>
  <si>
    <t>ISic001918</t>
  </si>
  <si>
    <t>ISic001919</t>
  </si>
  <si>
    <t>Pentelic</t>
  </si>
  <si>
    <t>ISic001920</t>
  </si>
  <si>
    <t>Docimian</t>
  </si>
  <si>
    <t>ISic001921</t>
  </si>
  <si>
    <t>Aphrodisian, Parian, Proconnesian</t>
  </si>
  <si>
    <t>ISic001922</t>
  </si>
  <si>
    <t>Thasian-1, Parian-2</t>
  </si>
  <si>
    <t>ISic001923</t>
  </si>
  <si>
    <t>ISic001924</t>
  </si>
  <si>
    <t>Parian-2, Proconnesian</t>
  </si>
  <si>
    <t>ISic001925</t>
  </si>
  <si>
    <t>out of isotopic range but looks like Carrara</t>
  </si>
  <si>
    <t>ISic002713</t>
  </si>
  <si>
    <t>ISic002742</t>
  </si>
  <si>
    <t>ISic002750</t>
  </si>
  <si>
    <t>ISic002932</t>
  </si>
  <si>
    <t>ISic002961</t>
  </si>
  <si>
    <t>ISic002990</t>
  </si>
  <si>
    <t>ISic002991</t>
  </si>
  <si>
    <t>ISic003000</t>
  </si>
  <si>
    <t>ISic003014</t>
  </si>
  <si>
    <t>ISic003077</t>
  </si>
  <si>
    <t>ISic003179</t>
  </si>
  <si>
    <t>ISic003182</t>
  </si>
  <si>
    <t>ISic003202</t>
  </si>
  <si>
    <t>ISic003203</t>
  </si>
  <si>
    <t>ISic003206</t>
  </si>
  <si>
    <t>ISic003223</t>
  </si>
  <si>
    <t>ISic003257</t>
  </si>
  <si>
    <t>ISic003263</t>
  </si>
  <si>
    <t>ISic003296</t>
  </si>
  <si>
    <t>ISic003300</t>
  </si>
  <si>
    <t>ISic003306</t>
  </si>
  <si>
    <t>ISic003308</t>
  </si>
  <si>
    <t>ISic003312</t>
  </si>
  <si>
    <t>ISic003335</t>
  </si>
  <si>
    <t>ISic003337</t>
  </si>
  <si>
    <t>ISic003349</t>
  </si>
  <si>
    <t>ISic003378</t>
  </si>
  <si>
    <t>ISic003379</t>
  </si>
  <si>
    <t>ISic003390</t>
  </si>
  <si>
    <t>ISic003407</t>
  </si>
  <si>
    <t>ISic003412</t>
  </si>
  <si>
    <t>ISic003571</t>
  </si>
  <si>
    <t>ISic003572</t>
  </si>
  <si>
    <t>ISic003573</t>
  </si>
  <si>
    <t>ISic003574</t>
  </si>
  <si>
    <t>ISic003575</t>
  </si>
  <si>
    <t>ISic003577</t>
  </si>
  <si>
    <t>ISic003579</t>
  </si>
  <si>
    <t>ISic003580</t>
  </si>
  <si>
    <t>ISic003581</t>
  </si>
  <si>
    <t>ISic003582</t>
  </si>
  <si>
    <t>ISic003584</t>
  </si>
  <si>
    <t>ISic003585</t>
  </si>
  <si>
    <t>ISic003586</t>
  </si>
  <si>
    <t>ISic003587</t>
  </si>
  <si>
    <t>ISic003589</t>
  </si>
  <si>
    <t>ISic003590</t>
  </si>
  <si>
    <t>ISic003591</t>
  </si>
  <si>
    <t>ISic003699</t>
  </si>
  <si>
    <t>red and purple</t>
  </si>
  <si>
    <t>ISic004340</t>
  </si>
  <si>
    <t>ISic004341</t>
  </si>
  <si>
    <t>ISic004359</t>
  </si>
  <si>
    <t>no match</t>
  </si>
  <si>
    <t>ISic004361</t>
  </si>
  <si>
    <t>ISic004363</t>
  </si>
  <si>
    <t>ISic004364</t>
  </si>
  <si>
    <t>Docimian, Parian-2</t>
  </si>
  <si>
    <t>ISic004365</t>
  </si>
  <si>
    <t>ISic004388</t>
  </si>
  <si>
    <t>ISic004438</t>
  </si>
  <si>
    <t>ISic004439</t>
  </si>
  <si>
    <t>ISic004442</t>
  </si>
  <si>
    <t>ISic004443</t>
  </si>
  <si>
    <t>ISic004444</t>
  </si>
  <si>
    <t>ISic004445</t>
  </si>
  <si>
    <t>ISic004446</t>
  </si>
  <si>
    <t>ISic004449</t>
  </si>
  <si>
    <t>ISic004451</t>
  </si>
  <si>
    <t>ISic004453</t>
  </si>
  <si>
    <t>ISic004459</t>
  </si>
  <si>
    <t>ISic004462</t>
  </si>
  <si>
    <t>ISic004463</t>
  </si>
  <si>
    <t>ISic004464</t>
  </si>
  <si>
    <t>ISic004465</t>
  </si>
  <si>
    <t>ISic004466</t>
  </si>
  <si>
    <t>ISic004467</t>
  </si>
  <si>
    <t>ISic004468</t>
  </si>
  <si>
    <t xml:space="preserve">banded </t>
  </si>
  <si>
    <t>ISic004469</t>
  </si>
  <si>
    <t>ISic004471</t>
  </si>
  <si>
    <t>ISic004474</t>
  </si>
  <si>
    <t>ISic004475</t>
  </si>
  <si>
    <t>ISic004476</t>
  </si>
  <si>
    <t>ISic004481</t>
  </si>
  <si>
    <t>ISic004503</t>
  </si>
  <si>
    <t>ISicX04503</t>
  </si>
  <si>
    <t>ORSI329</t>
  </si>
  <si>
    <t>SALINAS5644</t>
  </si>
  <si>
    <t>SALINASTINDARI</t>
  </si>
  <si>
    <t>Antonelli and Lazzarini 2015</t>
  </si>
  <si>
    <t>Thasian-2</t>
  </si>
  <si>
    <t>Alykí</t>
  </si>
  <si>
    <t>often</t>
  </si>
  <si>
    <t>minor</t>
  </si>
  <si>
    <t>Lazzarini and Mariottini 1987</t>
  </si>
  <si>
    <t>Thasian-1</t>
  </si>
  <si>
    <t>major</t>
  </si>
  <si>
    <t>Apollonas or Melanes</t>
  </si>
  <si>
    <t>sometimes</t>
  </si>
  <si>
    <t>Antonelli et al 2009</t>
  </si>
  <si>
    <t>Algerian scritto</t>
  </si>
  <si>
    <t>Cap de Garde</t>
  </si>
  <si>
    <t>dolomite up to 20%</t>
  </si>
  <si>
    <t>Herrmann et al 2012</t>
  </si>
  <si>
    <t>Cape Phanari</t>
  </si>
  <si>
    <t>Thenarian</t>
  </si>
  <si>
    <t>Cape Tainaron</t>
  </si>
  <si>
    <t>Cape Vathy-Saliara</t>
  </si>
  <si>
    <t>main</t>
  </si>
  <si>
    <t>Antonelli and Nestola 2021</t>
  </si>
  <si>
    <t>Carrara (Fantiscritti, Ravaccione, Fossacava)</t>
  </si>
  <si>
    <t xml:space="preserve">white/whitish </t>
  </si>
  <si>
    <t>0.49815</t>
  </si>
  <si>
    <t>0.00021</t>
  </si>
  <si>
    <t>1.70209</t>
  </si>
  <si>
    <t>0.00092</t>
  </si>
  <si>
    <t>Maniatis and Polikreti 2000</t>
  </si>
  <si>
    <t>Chorodaki</t>
  </si>
  <si>
    <t>medium to coarse</t>
  </si>
  <si>
    <t>white or whitish</t>
  </si>
  <si>
    <t>greyish or bluish</t>
  </si>
  <si>
    <t>Aphrodisian</t>
  </si>
  <si>
    <t>Denizli, Baba Dag</t>
  </si>
  <si>
    <t>Ephesian white</t>
  </si>
  <si>
    <t>Ephesus</t>
  </si>
  <si>
    <t>Yavuz et al 2011</t>
  </si>
  <si>
    <t>Ephesian bigio</t>
  </si>
  <si>
    <t>grey/greyish</t>
  </si>
  <si>
    <t>Ephesian scritto</t>
  </si>
  <si>
    <t>green to grey</t>
  </si>
  <si>
    <t>Fantiscritti</t>
  </si>
  <si>
    <t>Fossacava</t>
  </si>
  <si>
    <t>Iscehisar, Bakakale</t>
  </si>
  <si>
    <t>Parian-4</t>
  </si>
  <si>
    <t>Karavos</t>
  </si>
  <si>
    <t>coarse with fine areas</t>
  </si>
  <si>
    <t>Goette et al 1995</t>
  </si>
  <si>
    <t>Kokkinaras</t>
  </si>
  <si>
    <t>light grey to grey/blue</t>
  </si>
  <si>
    <t>2253</t>
  </si>
  <si>
    <t>960</t>
  </si>
  <si>
    <t>4</t>
  </si>
  <si>
    <t>6.1</t>
  </si>
  <si>
    <t>1</t>
  </si>
  <si>
    <t>9.1</t>
  </si>
  <si>
    <t>1.1</t>
  </si>
  <si>
    <t xml:space="preserve">Thasian </t>
  </si>
  <si>
    <t>Limin</t>
  </si>
  <si>
    <t>Marathi</t>
  </si>
  <si>
    <t>greyish</t>
  </si>
  <si>
    <t>greyish, white to greyish</t>
  </si>
  <si>
    <t>Antonelli et alii 2010</t>
  </si>
  <si>
    <t>Mt. Filfila</t>
  </si>
  <si>
    <t>some</t>
  </si>
  <si>
    <t>Mt. Penteli</t>
  </si>
  <si>
    <t>Göktepe</t>
  </si>
  <si>
    <t>Mugla</t>
  </si>
  <si>
    <t>rare</t>
  </si>
  <si>
    <t>0.49868</t>
  </si>
  <si>
    <t>0.00007</t>
  </si>
  <si>
    <t>1.70464</t>
  </si>
  <si>
    <t>0.00027</t>
  </si>
  <si>
    <t>Magrini et al 2016</t>
  </si>
  <si>
    <t>Thasian</t>
  </si>
  <si>
    <t>Skira</t>
  </si>
  <si>
    <t>Vettor et al 2021</t>
  </si>
  <si>
    <t>Delian</t>
  </si>
  <si>
    <t>Delos</t>
  </si>
  <si>
    <t>Parian-3</t>
  </si>
  <si>
    <t>Agios Minas</t>
  </si>
  <si>
    <t>Prochaska 2015</t>
  </si>
  <si>
    <t>Marmara (Saraylar, Camlik, Silinte)</t>
  </si>
  <si>
    <t>bluish grey</t>
  </si>
  <si>
    <t>Mt. Hymettos</t>
  </si>
  <si>
    <t>128</t>
  </si>
  <si>
    <t>95</t>
  </si>
  <si>
    <t>4.1</t>
  </si>
  <si>
    <t>0.61</t>
  </si>
  <si>
    <t>0.67</t>
  </si>
  <si>
    <t>0.26</t>
  </si>
  <si>
    <t>7.7</t>
  </si>
  <si>
    <t>1.9</t>
  </si>
  <si>
    <t>Thracian</t>
  </si>
  <si>
    <t>Philippi</t>
  </si>
  <si>
    <t>Capedri et al 2004</t>
  </si>
  <si>
    <t>Perna et al 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</si>
</sst>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15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rgb="FF000000"/>
      <name val="&quot;Aptos Narrow&quot;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</font>
    <font>
      <sz val="11.0"/>
      <color rgb="FF000000"/>
      <name val="&quot;aptos narrow&quot;"/>
    </font>
    <font>
      <sz val="8.0"/>
      <color rgb="FF000000"/>
      <name val="Arial"/>
    </font>
    <font>
      <color theme="1"/>
      <name val="Arial"/>
      <scheme val="minor"/>
    </font>
    <font>
      <color rgb="FF000000"/>
      <name val="Arial"/>
    </font>
    <font>
      <sz val="10.0"/>
      <color rgb="FF000000"/>
      <name val="Arial"/>
    </font>
    <font>
      <sz val="12.0"/>
      <color rgb="FF000000"/>
      <name val="Calibri"/>
    </font>
    <font>
      <sz val="12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2F2F2"/>
        <bgColor rgb="FFF2F2F2"/>
      </patternFill>
    </fill>
  </fills>
  <borders count="22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000000"/>
      </bottom>
    </border>
    <border>
      <left style="thin">
        <color rgb="FFA6A6A6"/>
      </left>
      <right style="thin">
        <color rgb="FF000000"/>
      </right>
      <bottom style="thin">
        <color rgb="FFA6A6A6"/>
      </bottom>
    </border>
    <border>
      <right style="thin">
        <color rgb="FF000000"/>
      </right>
      <bottom style="thin">
        <color rgb="FF000000"/>
      </bottom>
    </border>
    <border>
      <left style="thin">
        <color rgb="FFA6A6A6"/>
      </left>
      <right style="thin">
        <color rgb="FFA6A6A6"/>
      </right>
      <bottom style="thin">
        <color rgb="FFA6A6A6"/>
      </bottom>
    </border>
    <border>
      <right style="thin">
        <color rgb="FFA6A6A6"/>
      </right>
      <bottom style="thin">
        <color rgb="FFA6A6A6"/>
      </bottom>
    </border>
    <border>
      <right style="thin">
        <color rgb="FF808080"/>
      </right>
      <bottom style="thin">
        <color rgb="FFA6A6A6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right style="thin">
        <color rgb="FFA6A6A6"/>
      </right>
      <bottom style="thin">
        <color rgb="FF000000"/>
      </bottom>
    </border>
    <border>
      <left style="thin">
        <color rgb="FFA6A6A6"/>
      </left>
    </border>
    <border>
      <left style="thin">
        <color rgb="FFA6A6A6"/>
      </left>
      <right style="thin">
        <color rgb="FFA6A6A6"/>
      </right>
      <top style="thin">
        <color rgb="FFA6A6A6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A6A6A6"/>
      </bottom>
    </border>
    <border>
      <right style="thin">
        <color rgb="FFA6A6A6"/>
      </right>
    </border>
    <border>
      <bottom style="thin">
        <color rgb="FF000000"/>
      </bottom>
    </border>
    <border>
      <left style="thin">
        <color rgb="FFA6A6A6"/>
      </left>
      <bottom style="thin">
        <color rgb="FFA6A6A6"/>
      </bottom>
    </border>
    <border>
      <right style="thin">
        <color rgb="FF000000"/>
      </right>
    </border>
    <border>
      <right style="thin">
        <color rgb="FF000000"/>
      </right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textRotation="90" vertical="bottom" wrapText="1"/>
    </xf>
    <xf borderId="1" fillId="0" fontId="1" numFmtId="0" xfId="0" applyAlignment="1" applyBorder="1" applyFont="1">
      <alignment readingOrder="0" shrinkToFit="0" textRotation="90" vertical="bottom" wrapText="1"/>
    </xf>
    <xf borderId="0" fillId="0" fontId="2" numFmtId="0" xfId="0" applyAlignment="1" applyFont="1">
      <alignment textRotation="90" vertical="bottom"/>
    </xf>
    <xf borderId="0" fillId="0" fontId="3" numFmtId="0" xfId="0" applyAlignment="1" applyFont="1">
      <alignment horizontal="center" readingOrder="0" textRotation="90" vertical="bottom"/>
    </xf>
    <xf borderId="2" fillId="0" fontId="3" numFmtId="0" xfId="0" applyAlignment="1" applyBorder="1" applyFont="1">
      <alignment horizontal="center" textRotation="90" vertical="bottom"/>
    </xf>
    <xf borderId="3" fillId="0" fontId="1" numFmtId="0" xfId="0" applyAlignment="1" applyBorder="1" applyFont="1">
      <alignment horizontal="left" readingOrder="0" vertical="bottom"/>
    </xf>
    <xf borderId="4" fillId="0" fontId="1" numFmtId="0" xfId="0" applyAlignment="1" applyBorder="1" applyFont="1">
      <alignment horizontal="left" readingOrder="0" vertical="bottom"/>
    </xf>
    <xf borderId="0" fillId="0" fontId="4" numFmtId="0" xfId="0" applyAlignment="1" applyFont="1">
      <alignment readingOrder="0" shrinkToFit="0" textRotation="90" vertical="bottom" wrapText="0"/>
    </xf>
    <xf borderId="0" fillId="0" fontId="1" numFmtId="0" xfId="0" applyAlignment="1" applyFont="1">
      <alignment shrinkToFit="0" textRotation="90" vertical="bottom" wrapText="1"/>
    </xf>
    <xf borderId="1" fillId="0" fontId="5" numFmtId="0" xfId="0" applyAlignment="1" applyBorder="1" applyFont="1">
      <alignment vertical="bottom"/>
    </xf>
    <xf borderId="0" fillId="2" fontId="5" numFmtId="0" xfId="0" applyAlignment="1" applyFill="1" applyFont="1">
      <alignment vertical="bottom"/>
    </xf>
    <xf borderId="1" fillId="2" fontId="5" numFmtId="0" xfId="0" applyAlignment="1" applyBorder="1" applyFont="1">
      <alignment vertical="bottom"/>
    </xf>
    <xf borderId="1" fillId="3" fontId="5" numFmtId="0" xfId="0" applyAlignment="1" applyBorder="1" applyFill="1" applyFont="1">
      <alignment vertical="bottom"/>
    </xf>
    <xf borderId="1" fillId="4" fontId="5" numFmtId="0" xfId="0" applyAlignment="1" applyBorder="1" applyFill="1" applyFont="1">
      <alignment vertical="bottom"/>
    </xf>
    <xf borderId="1" fillId="2" fontId="5" numFmtId="4" xfId="0" applyAlignment="1" applyBorder="1" applyFont="1" applyNumberFormat="1">
      <alignment vertical="bottom"/>
    </xf>
    <xf borderId="0" fillId="2" fontId="5" numFmtId="4" xfId="0" applyAlignment="1" applyFont="1" applyNumberFormat="1">
      <alignment vertical="bottom"/>
    </xf>
    <xf borderId="5" fillId="2" fontId="6" numFmtId="0" xfId="0" applyAlignment="1" applyBorder="1" applyFont="1">
      <alignment horizontal="left" readingOrder="0" vertical="bottom"/>
    </xf>
    <xf borderId="6" fillId="2" fontId="6" numFmtId="0" xfId="0" applyAlignment="1" applyBorder="1" applyFont="1">
      <alignment horizontal="left" readingOrder="0" vertical="bottom"/>
    </xf>
    <xf borderId="0" fillId="0" fontId="7" numFmtId="0" xfId="0" applyAlignment="1" applyFont="1">
      <alignment vertical="bottom"/>
    </xf>
    <xf borderId="1" fillId="0" fontId="6" numFmtId="0" xfId="0" applyAlignment="1" applyBorder="1" applyFont="1">
      <alignment readingOrder="0"/>
    </xf>
    <xf borderId="0" fillId="0" fontId="6" numFmtId="0" xfId="0" applyFont="1"/>
    <xf borderId="1" fillId="0" fontId="6" numFmtId="0" xfId="0" applyBorder="1" applyFont="1"/>
    <xf borderId="1" fillId="3" fontId="6" numFmtId="0" xfId="0" applyBorder="1" applyFont="1"/>
    <xf borderId="1" fillId="2" fontId="6" numFmtId="0" xfId="0" applyBorder="1" applyFont="1"/>
    <xf borderId="1" fillId="0" fontId="7" numFmtId="0" xfId="0" applyBorder="1" applyFont="1"/>
    <xf borderId="1" fillId="4" fontId="7" numFmtId="0" xfId="0" applyAlignment="1" applyBorder="1" applyFont="1">
      <alignment readingOrder="0"/>
    </xf>
    <xf borderId="1" fillId="0" fontId="6" numFmtId="4" xfId="0" applyBorder="1" applyFont="1" applyNumberFormat="1"/>
    <xf borderId="1" fillId="0" fontId="8" numFmtId="4" xfId="0" applyAlignment="1" applyBorder="1" applyFont="1" applyNumberFormat="1">
      <alignment horizontal="right"/>
    </xf>
    <xf borderId="0" fillId="0" fontId="6" numFmtId="4" xfId="0" applyFont="1" applyNumberFormat="1"/>
    <xf borderId="5" fillId="0" fontId="6" numFmtId="0" xfId="0" applyAlignment="1" applyBorder="1" applyFont="1">
      <alignment horizontal="left" readingOrder="0" vertical="bottom"/>
    </xf>
    <xf borderId="6" fillId="0" fontId="6" numFmtId="0" xfId="0" applyAlignment="1" applyBorder="1" applyFont="1">
      <alignment horizontal="right" readingOrder="0" vertical="bottom"/>
    </xf>
    <xf borderId="1" fillId="0" fontId="9" numFmtId="0" xfId="0" applyAlignment="1" applyBorder="1" applyFont="1">
      <alignment horizontal="left" readingOrder="0" vertical="bottom"/>
    </xf>
    <xf borderId="0" fillId="0" fontId="7" numFmtId="0" xfId="0" applyFont="1"/>
    <xf borderId="0" fillId="0" fontId="4" numFmtId="0" xfId="0" applyAlignment="1" applyFont="1">
      <alignment shrinkToFit="0" vertical="bottom" wrapText="0"/>
    </xf>
    <xf borderId="0" fillId="2" fontId="6" numFmtId="0" xfId="0" applyFont="1"/>
    <xf borderId="0" fillId="4" fontId="7" numFmtId="0" xfId="0" applyAlignment="1" applyFont="1">
      <alignment readingOrder="0"/>
    </xf>
    <xf borderId="7" fillId="0" fontId="6" numFmtId="0" xfId="0" applyAlignment="1" applyBorder="1" applyFont="1">
      <alignment horizontal="left" readingOrder="0" vertical="bottom"/>
    </xf>
    <xf borderId="8" fillId="0" fontId="6" numFmtId="0" xfId="0" applyAlignment="1" applyBorder="1" applyFont="1">
      <alignment horizontal="right" readingOrder="0" vertical="bottom"/>
    </xf>
    <xf borderId="0" fillId="0" fontId="9" numFmtId="0" xfId="0" applyAlignment="1" applyFont="1">
      <alignment horizontal="left" readingOrder="0" vertical="bottom"/>
    </xf>
    <xf borderId="0" fillId="0" fontId="4" numFmtId="0" xfId="0" applyAlignment="1" applyFont="1">
      <alignment shrinkToFit="0" vertical="bottom" wrapText="0"/>
    </xf>
    <xf borderId="9" fillId="0" fontId="6" numFmtId="0" xfId="0" applyAlignment="1" applyBorder="1" applyFont="1">
      <alignment horizontal="right" readingOrder="0" vertical="bottom"/>
    </xf>
    <xf borderId="10" fillId="0" fontId="7" numFmtId="0" xfId="0" applyBorder="1" applyFont="1"/>
    <xf borderId="1" fillId="0" fontId="8" numFmtId="0" xfId="0" applyAlignment="1" applyBorder="1" applyFont="1">
      <alignment horizontal="right"/>
    </xf>
    <xf borderId="1" fillId="0" fontId="10" numFmtId="0" xfId="0" applyBorder="1" applyFont="1"/>
    <xf borderId="1" fillId="4" fontId="10" numFmtId="0" xfId="0" applyBorder="1" applyFont="1"/>
    <xf borderId="7" fillId="0" fontId="11" numFmtId="0" xfId="0" applyAlignment="1" applyBorder="1" applyFont="1">
      <alignment vertical="bottom"/>
    </xf>
    <xf borderId="8" fillId="0" fontId="11" numFmtId="2" xfId="0" applyAlignment="1" applyBorder="1" applyFont="1" applyNumberFormat="1">
      <alignment vertical="bottom"/>
    </xf>
    <xf borderId="1" fillId="3" fontId="1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1" fillId="0" fontId="10" numFmtId="0" xfId="0" applyAlignment="1" applyBorder="1" applyFont="1">
      <alignment readingOrder="0"/>
    </xf>
    <xf borderId="0" fillId="0" fontId="4" numFmtId="164" xfId="0" applyAlignment="1" applyFont="1" applyNumberFormat="1">
      <alignment horizontal="right" readingOrder="0" shrinkToFit="0" vertical="bottom" wrapText="0"/>
    </xf>
    <xf borderId="1" fillId="4" fontId="7" numFmtId="0" xfId="0" applyBorder="1" applyFont="1"/>
    <xf borderId="8" fillId="0" fontId="11" numFmtId="0" xfId="0" applyAlignment="1" applyBorder="1" applyFont="1">
      <alignment vertical="bottom"/>
    </xf>
    <xf borderId="0" fillId="0" fontId="4" numFmtId="164" xfId="0" applyAlignment="1" applyFont="1" applyNumberFormat="1">
      <alignment shrinkToFit="0" vertical="bottom" wrapText="0"/>
    </xf>
    <xf borderId="0" fillId="2" fontId="6" numFmtId="0" xfId="0" applyAlignment="1" applyFont="1">
      <alignment readingOrder="0"/>
    </xf>
    <xf borderId="1" fillId="0" fontId="12" numFmtId="0" xfId="0" applyAlignment="1" applyBorder="1" applyFont="1">
      <alignment readingOrder="0"/>
    </xf>
    <xf borderId="1" fillId="0" fontId="12" numFmtId="0" xfId="0" applyBorder="1" applyFont="1"/>
    <xf borderId="11" fillId="0" fontId="11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1" fillId="3" fontId="6" numFmtId="0" xfId="0" applyAlignment="1" applyBorder="1" applyFont="1">
      <alignment readingOrder="0"/>
    </xf>
    <xf borderId="0" fillId="0" fontId="4" numFmtId="0" xfId="0" applyAlignment="1" applyFont="1">
      <alignment horizontal="center" readingOrder="0" shrinkToFit="0" vertical="bottom" wrapText="0"/>
    </xf>
    <xf borderId="1" fillId="0" fontId="6" numFmtId="0" xfId="0" applyAlignment="1" applyBorder="1" applyFont="1">
      <alignment horizontal="right" readingOrder="0"/>
    </xf>
    <xf quotePrefix="1" borderId="1" fillId="0" fontId="8" numFmtId="0" xfId="0" applyAlignment="1" applyBorder="1" applyFont="1">
      <alignment horizontal="right"/>
    </xf>
    <xf borderId="1" fillId="4" fontId="6" numFmtId="0" xfId="0" applyAlignment="1" applyBorder="1" applyFont="1">
      <alignment readingOrder="0"/>
    </xf>
    <xf borderId="1" fillId="0" fontId="8" numFmtId="0" xfId="0" applyBorder="1" applyFont="1"/>
    <xf borderId="0" fillId="0" fontId="8" numFmtId="0" xfId="0" applyFont="1"/>
    <xf borderId="1" fillId="5" fontId="6" numFmtId="0" xfId="0" applyBorder="1" applyFill="1" applyFont="1"/>
    <xf borderId="1" fillId="0" fontId="6" numFmtId="0" xfId="0" applyAlignment="1" applyBorder="1" applyFont="1">
      <alignment horizontal="right"/>
    </xf>
    <xf borderId="8" fillId="0" fontId="13" numFmtId="0" xfId="0" applyAlignment="1" applyBorder="1" applyFont="1">
      <alignment horizontal="right" readingOrder="0" vertical="bottom"/>
    </xf>
    <xf borderId="1" fillId="3" fontId="8" numFmtId="0" xfId="0" applyBorder="1" applyFont="1"/>
    <xf borderId="1" fillId="4" fontId="8" numFmtId="0" xfId="0" applyBorder="1" applyFont="1"/>
    <xf borderId="7" fillId="0" fontId="11" numFmtId="0" xfId="0" applyAlignment="1" applyBorder="1" applyFont="1">
      <alignment vertical="bottom"/>
    </xf>
    <xf borderId="0" fillId="0" fontId="6" numFmtId="0" xfId="0" applyAlignment="1" applyFont="1">
      <alignment horizontal="right" readingOrder="0" vertical="bottom"/>
    </xf>
    <xf borderId="1" fillId="2" fontId="6" numFmtId="0" xfId="0" applyAlignment="1" applyBorder="1" applyFont="1">
      <alignment readingOrder="0"/>
    </xf>
    <xf borderId="12" fillId="0" fontId="6" numFmtId="0" xfId="0" applyAlignment="1" applyBorder="1" applyFont="1">
      <alignment horizontal="left" readingOrder="0" vertical="bottom"/>
    </xf>
    <xf borderId="13" fillId="0" fontId="6" numFmtId="0" xfId="0" applyAlignment="1" applyBorder="1" applyFont="1">
      <alignment readingOrder="0"/>
    </xf>
    <xf borderId="13" fillId="0" fontId="6" numFmtId="0" xfId="0" applyBorder="1" applyFont="1"/>
    <xf borderId="13" fillId="3" fontId="6" numFmtId="0" xfId="0" applyBorder="1" applyFont="1"/>
    <xf borderId="13" fillId="2" fontId="6" numFmtId="0" xfId="0" applyBorder="1" applyFont="1"/>
    <xf borderId="13" fillId="0" fontId="7" numFmtId="0" xfId="0" applyBorder="1" applyFont="1"/>
    <xf borderId="13" fillId="4" fontId="7" numFmtId="0" xfId="0" applyBorder="1" applyFont="1"/>
    <xf borderId="13" fillId="0" fontId="8" numFmtId="0" xfId="0" applyAlignment="1" applyBorder="1" applyFont="1">
      <alignment horizontal="right"/>
    </xf>
    <xf borderId="14" fillId="0" fontId="6" numFmtId="0" xfId="0" applyAlignment="1" applyBorder="1" applyFont="1">
      <alignment horizontal="right" readingOrder="0" vertical="bottom"/>
    </xf>
    <xf borderId="0" fillId="0" fontId="6" numFmtId="0" xfId="0" applyAlignment="1" applyFont="1">
      <alignment readingOrder="0"/>
    </xf>
    <xf borderId="0" fillId="3" fontId="6" numFmtId="0" xfId="0" applyFont="1"/>
    <xf borderId="0" fillId="4" fontId="7" numFmtId="0" xfId="0" applyFont="1"/>
    <xf borderId="0" fillId="0" fontId="8" numFmtId="0" xfId="0" applyAlignment="1" applyFont="1">
      <alignment horizontal="right"/>
    </xf>
    <xf borderId="0" fillId="0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7" fillId="0" fontId="6" numFmtId="0" xfId="0" applyAlignment="1" applyBorder="1" applyFont="1">
      <alignment readingOrder="0"/>
    </xf>
    <xf borderId="7" fillId="0" fontId="6" numFmtId="0" xfId="0" applyBorder="1" applyFont="1"/>
    <xf borderId="7" fillId="2" fontId="6" numFmtId="0" xfId="0" applyBorder="1" applyFont="1"/>
    <xf borderId="7" fillId="0" fontId="7" numFmtId="0" xfId="0" applyBorder="1" applyFont="1"/>
    <xf borderId="7" fillId="4" fontId="7" numFmtId="0" xfId="0" applyBorder="1" applyFont="1"/>
    <xf borderId="7" fillId="0" fontId="8" numFmtId="0" xfId="0" applyAlignment="1" applyBorder="1" applyFont="1">
      <alignment horizontal="right"/>
    </xf>
    <xf borderId="7" fillId="0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1" fillId="3" fontId="7" numFmtId="0" xfId="0" applyBorder="1" applyFont="1"/>
    <xf borderId="1" fillId="4" fontId="10" numFmtId="0" xfId="0" applyAlignment="1" applyBorder="1" applyFont="1">
      <alignment readingOrder="0"/>
    </xf>
    <xf borderId="0" fillId="0" fontId="13" numFmtId="2" xfId="0" applyAlignment="1" applyFont="1" applyNumberFormat="1">
      <alignment horizontal="right" readingOrder="0" vertical="bottom"/>
    </xf>
    <xf borderId="7" fillId="0" fontId="11" numFmtId="2" xfId="0" applyAlignment="1" applyBorder="1" applyFont="1" applyNumberFormat="1">
      <alignment vertical="bottom"/>
    </xf>
    <xf borderId="0" fillId="0" fontId="11" numFmtId="2" xfId="0" applyAlignment="1" applyFont="1" applyNumberFormat="1">
      <alignment vertical="bottom"/>
    </xf>
    <xf borderId="1" fillId="3" fontId="7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0" fillId="4" fontId="10" numFmtId="0" xfId="0" applyAlignment="1" applyFont="1">
      <alignment readingOrder="0"/>
    </xf>
    <xf borderId="15" fillId="0" fontId="6" numFmtId="0" xfId="0" applyAlignment="1" applyBorder="1" applyFont="1">
      <alignment horizontal="left" readingOrder="0" vertical="bottom"/>
    </xf>
    <xf borderId="15" fillId="0" fontId="13" numFmtId="2" xfId="0" applyAlignment="1" applyBorder="1" applyFont="1" applyNumberFormat="1">
      <alignment horizontal="right" readingOrder="0" vertical="bottom"/>
    </xf>
    <xf borderId="0" fillId="4" fontId="10" numFmtId="0" xfId="0" applyFont="1"/>
    <xf borderId="0" fillId="0" fontId="11" numFmtId="0" xfId="0" applyAlignment="1" applyFont="1">
      <alignment horizontal="left"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4" fontId="11" numFmtId="0" xfId="0" applyAlignment="1" applyFont="1">
      <alignment horizontal="left" readingOrder="0" shrinkToFit="0" vertical="bottom" wrapText="0"/>
    </xf>
    <xf borderId="7" fillId="0" fontId="11" numFmtId="2" xfId="0" applyAlignment="1" applyBorder="1" applyFont="1" applyNumberFormat="1">
      <alignment horizontal="left" readingOrder="0" vertical="bottom"/>
    </xf>
    <xf borderId="8" fillId="0" fontId="14" numFmtId="2" xfId="0" applyAlignment="1" applyBorder="1" applyFont="1" applyNumberFormat="1">
      <alignment horizontal="right" readingOrder="0" shrinkToFit="0" vertical="bottom" wrapText="0"/>
    </xf>
    <xf borderId="16" fillId="0" fontId="11" numFmtId="2" xfId="0" applyAlignment="1" applyBorder="1" applyFont="1" applyNumberFormat="1">
      <alignment vertical="bottom"/>
    </xf>
    <xf borderId="16" fillId="0" fontId="6" numFmtId="0" xfId="0" applyAlignment="1" applyBorder="1" applyFont="1">
      <alignment horizontal="right" readingOrder="0" vertical="bottom"/>
    </xf>
    <xf borderId="8" fillId="0" fontId="11" numFmtId="2" xfId="0" applyAlignment="1" applyBorder="1" applyFont="1" applyNumberFormat="1">
      <alignment horizontal="right" readingOrder="0" vertical="bottom"/>
    </xf>
    <xf borderId="11" fillId="0" fontId="11" numFmtId="2" xfId="0" applyAlignment="1" applyBorder="1" applyFont="1" applyNumberFormat="1">
      <alignment vertical="bottom"/>
    </xf>
    <xf borderId="5" fillId="0" fontId="11" numFmtId="2" xfId="0" applyAlignment="1" applyBorder="1" applyFont="1" applyNumberFormat="1">
      <alignment horizontal="left" readingOrder="0" vertical="bottom"/>
    </xf>
    <xf borderId="6" fillId="0" fontId="11" numFmtId="2" xfId="0" applyAlignment="1" applyBorder="1" applyFont="1" applyNumberFormat="1">
      <alignment horizontal="right" readingOrder="0" vertical="bottom"/>
    </xf>
    <xf borderId="11" fillId="0" fontId="11" numFmtId="2" xfId="0" applyAlignment="1" applyBorder="1" applyFont="1" applyNumberFormat="1">
      <alignment horizontal="right" readingOrder="0" vertical="bottom"/>
    </xf>
    <xf borderId="5" fillId="0" fontId="11" numFmtId="2" xfId="0" applyAlignment="1" applyBorder="1" applyFont="1" applyNumberFormat="1">
      <alignment vertical="bottom"/>
    </xf>
    <xf borderId="6" fillId="0" fontId="11" numFmtId="2" xfId="0" applyAlignment="1" applyBorder="1" applyFont="1" applyNumberFormat="1">
      <alignment vertical="bottom"/>
    </xf>
    <xf borderId="0" fillId="0" fontId="11" numFmtId="2" xfId="0" applyAlignment="1" applyFont="1" applyNumberFormat="1">
      <alignment horizontal="right" readingOrder="0" vertical="bottom"/>
    </xf>
    <xf borderId="17" fillId="0" fontId="11" numFmtId="2" xfId="0" applyAlignment="1" applyBorder="1" applyFont="1" applyNumberFormat="1">
      <alignment vertical="bottom"/>
    </xf>
    <xf borderId="17" fillId="0" fontId="11" numFmtId="2" xfId="0" applyAlignment="1" applyBorder="1" applyFont="1" applyNumberFormat="1">
      <alignment horizontal="right" readingOrder="0" vertical="bottom"/>
    </xf>
    <xf borderId="6" fillId="0" fontId="11" numFmtId="0" xfId="0" applyAlignment="1" applyBorder="1" applyFont="1">
      <alignment vertical="bottom"/>
    </xf>
    <xf borderId="18" fillId="0" fontId="11" numFmtId="2" xfId="0" applyAlignment="1" applyBorder="1" applyFont="1" applyNumberFormat="1">
      <alignment vertical="bottom"/>
    </xf>
    <xf borderId="0" fillId="0" fontId="11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center" readingOrder="0" shrinkToFit="0" vertical="bottom" wrapText="0"/>
    </xf>
    <xf borderId="16" fillId="0" fontId="11" numFmtId="2" xfId="0" applyAlignment="1" applyBorder="1" applyFont="1" applyNumberFormat="1">
      <alignment horizontal="left" readingOrder="0" vertical="bottom"/>
    </xf>
    <xf borderId="8" fillId="0" fontId="11" numFmtId="0" xfId="0" applyAlignment="1" applyBorder="1" applyFont="1">
      <alignment horizontal="right" readingOrder="0" vertical="bottom"/>
    </xf>
    <xf borderId="0" fillId="0" fontId="6" numFmtId="0" xfId="0" applyAlignment="1" applyFont="1">
      <alignment horizontal="center" readingOrder="0" shrinkToFit="0" vertical="bottom" wrapText="0"/>
    </xf>
    <xf borderId="19" fillId="0" fontId="11" numFmtId="2" xfId="0" applyAlignment="1" applyBorder="1" applyFont="1" applyNumberFormat="1">
      <alignment vertical="bottom"/>
    </xf>
    <xf borderId="11" fillId="0" fontId="11" numFmtId="0" xfId="0" applyAlignment="1" applyBorder="1" applyFont="1">
      <alignment horizontal="right" readingOrder="0" vertical="bottom"/>
    </xf>
    <xf borderId="19" fillId="0" fontId="11" numFmtId="2" xfId="0" applyAlignment="1" applyBorder="1" applyFont="1" applyNumberFormat="1">
      <alignment horizontal="left" readingOrder="0" vertical="bottom"/>
    </xf>
    <xf borderId="6" fillId="0" fontId="11" numFmtId="0" xfId="0" applyAlignment="1" applyBorder="1" applyFont="1">
      <alignment horizontal="right" readingOrder="0" vertical="bottom"/>
    </xf>
    <xf borderId="20" fillId="0" fontId="11" numFmtId="2" xfId="0" applyAlignment="1" applyBorder="1" applyFont="1" applyNumberFormat="1">
      <alignment vertical="bottom"/>
    </xf>
    <xf borderId="16" fillId="0" fontId="6" numFmtId="0" xfId="0" applyAlignment="1" applyBorder="1" applyFont="1">
      <alignment horizontal="left" readingOrder="0" vertical="bottom"/>
    </xf>
    <xf borderId="16" fillId="0" fontId="11" numFmtId="0" xfId="0" applyAlignment="1" applyBorder="1" applyFont="1">
      <alignment vertical="bottom"/>
    </xf>
    <xf borderId="8" fillId="0" fontId="11" numFmtId="0" xfId="0" applyAlignment="1" applyBorder="1" applyFont="1">
      <alignment vertical="bottom"/>
    </xf>
    <xf borderId="16" fillId="0" fontId="11" numFmtId="0" xfId="0" applyAlignment="1" applyBorder="1" applyFont="1">
      <alignment vertical="bottom"/>
    </xf>
    <xf borderId="0" fillId="0" fontId="6" numFmtId="0" xfId="0" applyAlignment="1" applyFont="1">
      <alignment horizontal="left" readingOrder="0" vertical="bottom"/>
    </xf>
    <xf borderId="1" fillId="6" fontId="6" numFmtId="0" xfId="0" applyAlignment="1" applyBorder="1" applyFill="1" applyFont="1">
      <alignment horizontal="left"/>
    </xf>
    <xf borderId="8" fillId="0" fontId="6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horizontal="center" readingOrder="0" shrinkToFit="0" vertical="bottom" wrapText="0"/>
    </xf>
    <xf borderId="8" fillId="0" fontId="6" numFmtId="2" xfId="0" applyAlignment="1" applyBorder="1" applyFont="1" applyNumberFormat="1">
      <alignment horizontal="right" readingOrder="0" vertical="bottom"/>
    </xf>
    <xf borderId="8" fillId="0" fontId="11" numFmtId="0" xfId="0" applyAlignment="1" applyBorder="1" applyFont="1">
      <alignment vertical="bottom"/>
    </xf>
    <xf borderId="0" fillId="0" fontId="4" numFmtId="0" xfId="0" applyAlignment="1" applyFont="1">
      <alignment horizontal="center" shrinkToFit="0" vertical="bottom" wrapText="0"/>
    </xf>
    <xf borderId="1" fillId="2" fontId="5" numFmtId="0" xfId="0" applyAlignment="1" applyBorder="1" applyFont="1">
      <alignment readingOrder="0" vertical="bottom"/>
    </xf>
    <xf borderId="21" fillId="0" fontId="10" numFmtId="0" xfId="0" applyBorder="1" applyFont="1"/>
    <xf borderId="21" fillId="3" fontId="7" numFmtId="0" xfId="0" applyBorder="1" applyFont="1"/>
    <xf borderId="21" fillId="2" fontId="6" numFmtId="0" xfId="0" applyBorder="1" applyFont="1"/>
    <xf borderId="21" fillId="0" fontId="10" numFmtId="0" xfId="0" applyAlignment="1" applyBorder="1" applyFont="1">
      <alignment readingOrder="0"/>
    </xf>
    <xf borderId="8" fillId="0" fontId="6" numFmtId="0" xfId="0" applyBorder="1" applyFont="1"/>
    <xf borderId="8" fillId="3" fontId="6" numFmtId="0" xfId="0" applyBorder="1" applyFont="1"/>
    <xf borderId="8" fillId="2" fontId="6" numFmtId="0" xfId="0" applyBorder="1" applyFont="1"/>
    <xf borderId="8" fillId="0" fontId="6" numFmtId="0" xfId="0" applyAlignment="1" applyBorder="1" applyFont="1">
      <alignment readingOrder="0"/>
    </xf>
    <xf borderId="15" fillId="0" fontId="11" numFmtId="2" xfId="0" applyAlignment="1" applyBorder="1" applyFont="1" applyNumberFormat="1">
      <alignment vertical="bottom"/>
    </xf>
    <xf borderId="20" fillId="0" fontId="11" numFmtId="0" xfId="0" applyAlignment="1" applyBorder="1" applyFont="1">
      <alignment vertical="bottom"/>
    </xf>
    <xf borderId="0" fillId="0" fontId="4" numFmtId="0" xfId="0" applyAlignment="1" applyFont="1">
      <alignment horizontal="center" shrinkToFit="0" vertical="bottom" wrapText="0"/>
    </xf>
    <xf borderId="1" fillId="2" fontId="8" numFmtId="0" xfId="0" applyBorder="1" applyFont="1"/>
    <xf borderId="1" fillId="0" fontId="6" numFmtId="0" xfId="0" applyAlignment="1" applyBorder="1" applyFont="1">
      <alignment shrinkToFit="0" vertical="bottom" wrapText="0"/>
    </xf>
    <xf borderId="0" fillId="2" fontId="8" numFmtId="0" xfId="0" applyFont="1"/>
    <xf borderId="0" fillId="4" fontId="6" numFmtId="0" xfId="0" applyAlignment="1" applyFont="1">
      <alignment readingOrder="0"/>
    </xf>
    <xf borderId="1" fillId="2" fontId="8" numFmtId="4" xfId="0" applyBorder="1" applyFont="1" applyNumberFormat="1"/>
    <xf borderId="1" fillId="7" fontId="8" numFmtId="0" xfId="0" applyBorder="1" applyFill="1" applyFont="1"/>
    <xf borderId="16" fillId="2" fontId="11" numFmtId="0" xfId="0" applyAlignment="1" applyBorder="1" applyFont="1">
      <alignment vertical="bottom"/>
    </xf>
    <xf borderId="8" fillId="2" fontId="11" numFmtId="0" xfId="0" applyAlignment="1" applyBorder="1" applyFont="1">
      <alignment vertical="bottom"/>
    </xf>
    <xf borderId="0" fillId="4" fontId="8" numFmtId="0" xfId="0" applyFont="1"/>
    <xf borderId="1" fillId="2" fontId="6" numFmtId="4" xfId="0" applyBorder="1" applyFont="1" applyNumberFormat="1"/>
    <xf borderId="1" fillId="2" fontId="8" numFmtId="4" xfId="0" applyAlignment="1" applyBorder="1" applyFont="1" applyNumberFormat="1">
      <alignment horizontal="right"/>
    </xf>
    <xf borderId="1" fillId="3" fontId="4" numFmtId="0" xfId="0" applyAlignment="1" applyBorder="1" applyFont="1">
      <alignment shrinkToFit="0" vertical="bottom" wrapText="0"/>
    </xf>
    <xf borderId="1" fillId="2" fontId="6" numFmtId="4" xfId="0" applyAlignment="1" applyBorder="1" applyFont="1" applyNumberFormat="1">
      <alignment readingOrder="0"/>
    </xf>
    <xf borderId="8" fillId="2" fontId="4" numFmtId="0" xfId="0" applyAlignment="1" applyBorder="1" applyFont="1">
      <alignment horizontal="right" readingOrder="0" vertical="bottom"/>
    </xf>
    <xf borderId="0" fillId="0" fontId="6" numFmtId="0" xfId="0" applyAlignment="1" applyFont="1">
      <alignment shrinkToFit="0" vertical="bottom" wrapText="0"/>
    </xf>
    <xf borderId="0" fillId="2" fontId="8" numFmtId="4" xfId="0" applyFont="1" applyNumberFormat="1"/>
    <xf borderId="0" fillId="7" fontId="8" numFmtId="0" xfId="0" applyFont="1"/>
    <xf borderId="0" fillId="0" fontId="4" numFmtId="0" xfId="0" applyAlignment="1" applyFont="1">
      <alignment shrinkToFit="0" vertical="bottom" wrapText="0"/>
    </xf>
    <xf borderId="0" fillId="2" fontId="6" numFmtId="4" xfId="0" applyFont="1" applyNumberFormat="1"/>
    <xf borderId="0" fillId="2" fontId="8" numFmtId="4" xfId="0" applyAlignment="1" applyFont="1" applyNumberFormat="1">
      <alignment horizontal="right"/>
    </xf>
    <xf quotePrefix="1" borderId="0" fillId="2" fontId="8" numFmtId="0" xfId="0" applyFont="1"/>
    <xf quotePrefix="1" borderId="0" fillId="2" fontId="8" numFmtId="0" xfId="0" applyAlignment="1" applyFont="1">
      <alignment horizontal="right"/>
    </xf>
    <xf borderId="0" fillId="2" fontId="11" numFmtId="0" xfId="0" applyAlignment="1" applyFont="1">
      <alignment vertical="bottom"/>
    </xf>
    <xf quotePrefix="1" borderId="0" fillId="0" fontId="7" numFmtId="0" xfId="0" applyFont="1"/>
    <xf borderId="0" fillId="3" fontId="4" numFmtId="0" xfId="0" applyAlignment="1" applyFont="1">
      <alignment shrinkToFit="0" vertical="bottom" wrapText="0"/>
    </xf>
    <xf borderId="0" fillId="7" fontId="6" numFmtId="0" xfId="0" applyFont="1"/>
    <xf borderId="0" fillId="2" fontId="11" numFmtId="0" xfId="0" applyAlignment="1" applyFont="1">
      <alignment vertical="bottom"/>
    </xf>
    <xf borderId="0" fillId="8" fontId="5" numFmtId="0" xfId="0" applyAlignment="1" applyFill="1" applyFont="1">
      <alignment readingOrder="0"/>
    </xf>
    <xf borderId="0" fillId="2" fontId="6" numFmtId="0" xfId="0" applyAlignment="1" applyFont="1">
      <alignment horizontal="right" readingOrder="0" vertical="bottom"/>
    </xf>
    <xf borderId="0" fillId="3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13"/>
    <col customWidth="1" min="2" max="2" width="9.5"/>
    <col customWidth="1" min="3" max="9" width="5.63"/>
    <col customWidth="1" min="10" max="10" width="24.38"/>
    <col customWidth="1" min="11" max="11" width="9.38"/>
    <col customWidth="1" min="12" max="12" width="8.63"/>
    <col customWidth="1" min="13" max="13" width="11.88"/>
    <col customWidth="1" min="14" max="14" width="14.0"/>
    <col customWidth="1" min="15" max="15" width="4.13"/>
    <col customWidth="1" min="16" max="16" width="5.63"/>
    <col customWidth="1" min="17" max="17" width="43.88"/>
    <col customWidth="1" min="18" max="18" width="14.88"/>
    <col customWidth="1" min="19" max="19" width="7.88"/>
    <col customWidth="1" min="20" max="20" width="12.25"/>
    <col customWidth="1" min="21" max="21" width="8.38"/>
    <col customWidth="1" min="22" max="22" width="5.63"/>
    <col customWidth="1" min="23" max="23" width="5.88"/>
    <col customWidth="1" min="24" max="30" width="5.63"/>
    <col customWidth="1" min="31" max="31" width="5.88"/>
    <col customWidth="1" min="32" max="32" width="5.63"/>
    <col customWidth="1" min="33" max="33" width="5.13"/>
    <col customWidth="1" min="34" max="34" width="4.38"/>
    <col customWidth="1" min="35" max="35" width="4.13"/>
    <col customWidth="1" min="36" max="36" width="4.88"/>
    <col customWidth="1" min="37" max="37" width="5.63"/>
    <col customWidth="1" min="38" max="38" width="5.88"/>
    <col customWidth="1" min="39" max="40" width="5.63"/>
    <col customWidth="1" min="41" max="41" width="7.25"/>
    <col customWidth="1" min="42" max="56" width="5.63"/>
    <col customWidth="1" min="57" max="60" width="7.63"/>
    <col customWidth="1" min="61" max="79" width="5.63"/>
    <col customWidth="1" min="80" max="80" width="5.5"/>
    <col customWidth="1" min="81" max="100" width="5.63"/>
    <col customWidth="1" min="101" max="101" width="9.25"/>
    <col customWidth="1" min="102" max="114" width="5.63"/>
    <col customWidth="1" min="115" max="116" width="7.63"/>
    <col customWidth="1" min="117" max="117" width="10.63"/>
    <col customWidth="1" min="118" max="118" width="11.75"/>
    <col customWidth="1" min="119" max="119" width="7.63"/>
    <col customWidth="1" min="120" max="120" width="10.63"/>
    <col customWidth="1" min="121" max="122" width="7.63"/>
    <col customWidth="1" min="123" max="123" width="8.63"/>
    <col customWidth="1" min="124" max="124" width="10.63"/>
    <col customWidth="1" min="125" max="126" width="7.63"/>
    <col customWidth="1" min="127" max="128" width="8.63"/>
    <col customWidth="1" min="129" max="129" width="7.63"/>
    <col customWidth="1" min="130" max="130" width="8.25"/>
    <col customWidth="1" min="131" max="131" width="7.63"/>
    <col customWidth="1" min="132" max="132" width="9.63"/>
    <col customWidth="1" min="133" max="139" width="7.63"/>
    <col customWidth="1" min="140" max="140" width="8.63"/>
    <col customWidth="1" min="141" max="151" width="7.63"/>
    <col customWidth="1" min="152" max="152" width="8.5"/>
    <col customWidth="1" min="153" max="155" width="7.63"/>
    <col customWidth="1" min="156" max="183" width="9.88"/>
  </cols>
  <sheetData>
    <row r="1" ht="11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/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2" t="s">
        <v>47</v>
      </c>
      <c r="AX1" s="2" t="s">
        <v>48</v>
      </c>
      <c r="AY1" s="2" t="s">
        <v>49</v>
      </c>
      <c r="AZ1" s="1" t="s">
        <v>50</v>
      </c>
      <c r="BA1" s="1" t="s">
        <v>51</v>
      </c>
      <c r="BB1" s="3" t="s">
        <v>52</v>
      </c>
      <c r="BC1" s="4" t="s">
        <v>53</v>
      </c>
      <c r="BD1" s="5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2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2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6" t="s">
        <v>99</v>
      </c>
      <c r="CX1" s="7" t="s">
        <v>100</v>
      </c>
      <c r="CY1" s="7" t="s">
        <v>101</v>
      </c>
      <c r="CZ1" s="2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2" t="s">
        <v>112</v>
      </c>
      <c r="DK1" s="8" t="s">
        <v>113</v>
      </c>
      <c r="DL1" s="8" t="s">
        <v>114</v>
      </c>
      <c r="DM1" s="8" t="s">
        <v>115</v>
      </c>
      <c r="DN1" s="8" t="s">
        <v>116</v>
      </c>
      <c r="DO1" s="8" t="s">
        <v>117</v>
      </c>
      <c r="DP1" s="8" t="s">
        <v>118</v>
      </c>
      <c r="DQ1" s="8" t="s">
        <v>119</v>
      </c>
      <c r="DR1" s="8" t="s">
        <v>120</v>
      </c>
      <c r="DS1" s="8" t="s">
        <v>121</v>
      </c>
      <c r="DT1" s="8" t="s">
        <v>122</v>
      </c>
      <c r="DU1" s="8" t="s">
        <v>123</v>
      </c>
      <c r="DV1" s="8" t="s">
        <v>124</v>
      </c>
      <c r="DW1" s="8" t="s">
        <v>125</v>
      </c>
      <c r="DX1" s="8" t="s">
        <v>126</v>
      </c>
      <c r="DY1" s="8" t="s">
        <v>127</v>
      </c>
      <c r="DZ1" s="8" t="s">
        <v>128</v>
      </c>
      <c r="EA1" s="8" t="s">
        <v>129</v>
      </c>
      <c r="EB1" s="8" t="s">
        <v>130</v>
      </c>
      <c r="EC1" s="8" t="s">
        <v>131</v>
      </c>
      <c r="ED1" s="8" t="s">
        <v>132</v>
      </c>
      <c r="EE1" s="8" t="s">
        <v>133</v>
      </c>
      <c r="EF1" s="8" t="s">
        <v>134</v>
      </c>
      <c r="EG1" s="8" t="s">
        <v>135</v>
      </c>
      <c r="EH1" s="8" t="s">
        <v>136</v>
      </c>
      <c r="EI1" s="8" t="s">
        <v>137</v>
      </c>
      <c r="EJ1" s="8" t="s">
        <v>138</v>
      </c>
      <c r="EK1" s="8" t="s">
        <v>139</v>
      </c>
      <c r="EL1" s="8" t="s">
        <v>140</v>
      </c>
      <c r="EM1" s="8" t="s">
        <v>141</v>
      </c>
      <c r="EN1" s="8" t="s">
        <v>142</v>
      </c>
      <c r="EO1" s="8" t="s">
        <v>143</v>
      </c>
      <c r="EP1" s="8" t="s">
        <v>144</v>
      </c>
      <c r="EQ1" s="8" t="s">
        <v>145</v>
      </c>
      <c r="ER1" s="8" t="s">
        <v>146</v>
      </c>
      <c r="ES1" s="8" t="s">
        <v>147</v>
      </c>
      <c r="ET1" s="8" t="s">
        <v>148</v>
      </c>
      <c r="EU1" s="8" t="s">
        <v>149</v>
      </c>
      <c r="EV1" s="8" t="s">
        <v>150</v>
      </c>
      <c r="EW1" s="8" t="s">
        <v>151</v>
      </c>
      <c r="EX1" s="8" t="s">
        <v>152</v>
      </c>
      <c r="EY1" s="8" t="s">
        <v>153</v>
      </c>
      <c r="EZ1" s="1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</row>
    <row r="2" ht="15.75" customHeight="1">
      <c r="A2" s="10" t="s">
        <v>154</v>
      </c>
      <c r="B2" s="10" t="s">
        <v>155</v>
      </c>
      <c r="C2" s="11" t="s">
        <v>155</v>
      </c>
      <c r="D2" s="11" t="s">
        <v>155</v>
      </c>
      <c r="E2" s="11" t="s">
        <v>155</v>
      </c>
      <c r="F2" s="11" t="s">
        <v>155</v>
      </c>
      <c r="G2" s="11" t="s">
        <v>155</v>
      </c>
      <c r="H2" s="11" t="s">
        <v>155</v>
      </c>
      <c r="I2" s="11" t="s">
        <v>155</v>
      </c>
      <c r="J2" s="12" t="s">
        <v>156</v>
      </c>
      <c r="K2" s="13" t="s">
        <v>157</v>
      </c>
      <c r="L2" s="13" t="s">
        <v>157</v>
      </c>
      <c r="M2" s="13" t="s">
        <v>157</v>
      </c>
      <c r="N2" s="13" t="s">
        <v>157</v>
      </c>
      <c r="O2" s="12" t="s">
        <v>157</v>
      </c>
      <c r="Q2" s="12" t="s">
        <v>158</v>
      </c>
      <c r="R2" s="12" t="s">
        <v>157</v>
      </c>
      <c r="S2" s="12" t="s">
        <v>157</v>
      </c>
      <c r="T2" s="12" t="s">
        <v>157</v>
      </c>
      <c r="U2" s="12" t="s">
        <v>157</v>
      </c>
      <c r="V2" s="12" t="s">
        <v>157</v>
      </c>
      <c r="W2" s="12" t="s">
        <v>157</v>
      </c>
      <c r="X2" s="12" t="s">
        <v>157</v>
      </c>
      <c r="Y2" s="12" t="s">
        <v>157</v>
      </c>
      <c r="Z2" s="12" t="s">
        <v>157</v>
      </c>
      <c r="AA2" s="12" t="s">
        <v>157</v>
      </c>
      <c r="AB2" s="12" t="s">
        <v>157</v>
      </c>
      <c r="AC2" s="12" t="s">
        <v>157</v>
      </c>
      <c r="AD2" s="12" t="s">
        <v>157</v>
      </c>
      <c r="AE2" s="14" t="s">
        <v>157</v>
      </c>
      <c r="AF2" s="12" t="s">
        <v>157</v>
      </c>
      <c r="AG2" s="12" t="s">
        <v>157</v>
      </c>
      <c r="AH2" s="12" t="s">
        <v>157</v>
      </c>
      <c r="AI2" s="12" t="s">
        <v>157</v>
      </c>
      <c r="AJ2" s="12" t="s">
        <v>157</v>
      </c>
      <c r="AK2" s="12" t="s">
        <v>157</v>
      </c>
      <c r="AL2" s="12" t="s">
        <v>157</v>
      </c>
      <c r="AM2" s="12" t="s">
        <v>157</v>
      </c>
      <c r="AN2" s="12"/>
      <c r="AO2" s="12" t="s">
        <v>159</v>
      </c>
      <c r="AP2" s="15" t="s">
        <v>160</v>
      </c>
      <c r="AQ2" s="15" t="s">
        <v>160</v>
      </c>
      <c r="AR2" s="15" t="s">
        <v>160</v>
      </c>
      <c r="AS2" s="15" t="s">
        <v>160</v>
      </c>
      <c r="AT2" s="15" t="s">
        <v>160</v>
      </c>
      <c r="AU2" s="15" t="s">
        <v>160</v>
      </c>
      <c r="AV2" s="15" t="s">
        <v>160</v>
      </c>
      <c r="AW2" s="15" t="s">
        <v>160</v>
      </c>
      <c r="AX2" s="15" t="s">
        <v>160</v>
      </c>
      <c r="AY2" s="15" t="s">
        <v>160</v>
      </c>
      <c r="AZ2" s="15" t="s">
        <v>160</v>
      </c>
      <c r="BA2" s="15" t="s">
        <v>160</v>
      </c>
      <c r="BB2" s="16" t="s">
        <v>160</v>
      </c>
      <c r="BC2" s="16"/>
      <c r="BD2" s="16" t="s">
        <v>160</v>
      </c>
      <c r="BE2" s="12" t="s">
        <v>157</v>
      </c>
      <c r="BF2" s="12" t="s">
        <v>157</v>
      </c>
      <c r="BG2" s="12" t="s">
        <v>157</v>
      </c>
      <c r="BH2" s="12" t="s">
        <v>157</v>
      </c>
      <c r="BI2" s="12" t="s">
        <v>157</v>
      </c>
      <c r="BJ2" s="15" t="s">
        <v>161</v>
      </c>
      <c r="BK2" s="15" t="s">
        <v>161</v>
      </c>
      <c r="BL2" s="15" t="s">
        <v>161</v>
      </c>
      <c r="BM2" s="15" t="s">
        <v>161</v>
      </c>
      <c r="BN2" s="15" t="s">
        <v>161</v>
      </c>
      <c r="BO2" s="15" t="s">
        <v>161</v>
      </c>
      <c r="BP2" s="15" t="s">
        <v>161</v>
      </c>
      <c r="BQ2" s="15" t="s">
        <v>161</v>
      </c>
      <c r="BR2" s="15" t="s">
        <v>161</v>
      </c>
      <c r="BS2" s="15" t="s">
        <v>161</v>
      </c>
      <c r="BT2" s="15" t="s">
        <v>161</v>
      </c>
      <c r="BU2" s="15" t="s">
        <v>161</v>
      </c>
      <c r="BV2" s="15" t="s">
        <v>161</v>
      </c>
      <c r="BW2" s="15" t="s">
        <v>161</v>
      </c>
      <c r="BX2" s="15" t="s">
        <v>161</v>
      </c>
      <c r="BY2" s="15" t="s">
        <v>161</v>
      </c>
      <c r="BZ2" s="15" t="s">
        <v>161</v>
      </c>
      <c r="CA2" s="15" t="s">
        <v>161</v>
      </c>
      <c r="CB2" s="15" t="s">
        <v>161</v>
      </c>
      <c r="CC2" s="15" t="s">
        <v>161</v>
      </c>
      <c r="CD2" s="15" t="s">
        <v>161</v>
      </c>
      <c r="CE2" s="12" t="s">
        <v>162</v>
      </c>
      <c r="CF2" s="12" t="s">
        <v>162</v>
      </c>
      <c r="CG2" s="12" t="s">
        <v>162</v>
      </c>
      <c r="CH2" s="12" t="s">
        <v>162</v>
      </c>
      <c r="CI2" s="12" t="s">
        <v>162</v>
      </c>
      <c r="CJ2" s="12" t="s">
        <v>162</v>
      </c>
      <c r="CK2" s="12" t="s">
        <v>162</v>
      </c>
      <c r="CL2" s="12" t="s">
        <v>162</v>
      </c>
      <c r="CM2" s="12" t="s">
        <v>162</v>
      </c>
      <c r="CN2" s="12" t="s">
        <v>162</v>
      </c>
      <c r="CO2" s="12" t="s">
        <v>162</v>
      </c>
      <c r="CP2" s="12" t="s">
        <v>162</v>
      </c>
      <c r="CQ2" s="12" t="s">
        <v>162</v>
      </c>
      <c r="CR2" s="12" t="s">
        <v>162</v>
      </c>
      <c r="CS2" s="12" t="s">
        <v>162</v>
      </c>
      <c r="CT2" s="12" t="s">
        <v>162</v>
      </c>
      <c r="CU2" s="12" t="s">
        <v>162</v>
      </c>
      <c r="CV2" s="12" t="s">
        <v>162</v>
      </c>
      <c r="CW2" s="17" t="s">
        <v>157</v>
      </c>
      <c r="CX2" s="18" t="s">
        <v>157</v>
      </c>
      <c r="CY2" s="18" t="s">
        <v>157</v>
      </c>
      <c r="CZ2" s="12" t="s">
        <v>157</v>
      </c>
      <c r="DA2" s="12" t="s">
        <v>157</v>
      </c>
      <c r="DB2" s="12" t="s">
        <v>157</v>
      </c>
      <c r="DC2" s="12" t="s">
        <v>157</v>
      </c>
      <c r="DD2" s="12" t="s">
        <v>157</v>
      </c>
      <c r="DE2" s="12" t="s">
        <v>157</v>
      </c>
      <c r="DF2" s="12" t="s">
        <v>157</v>
      </c>
      <c r="DG2" s="12" t="s">
        <v>157</v>
      </c>
      <c r="DH2" s="12" t="s">
        <v>157</v>
      </c>
      <c r="DI2" s="12" t="s">
        <v>157</v>
      </c>
      <c r="DJ2" s="12" t="s">
        <v>157</v>
      </c>
      <c r="DK2" s="12" t="s">
        <v>157</v>
      </c>
      <c r="DL2" s="12" t="s">
        <v>157</v>
      </c>
      <c r="DM2" s="12" t="s">
        <v>157</v>
      </c>
      <c r="DN2" s="12" t="s">
        <v>157</v>
      </c>
      <c r="DO2" s="12" t="s">
        <v>157</v>
      </c>
      <c r="DP2" s="12" t="s">
        <v>157</v>
      </c>
      <c r="DQ2" s="12" t="s">
        <v>157</v>
      </c>
      <c r="DR2" s="12" t="s">
        <v>157</v>
      </c>
      <c r="DS2" s="12" t="s">
        <v>157</v>
      </c>
      <c r="DT2" s="12" t="s">
        <v>157</v>
      </c>
      <c r="DU2" s="12" t="s">
        <v>157</v>
      </c>
      <c r="DV2" s="12" t="s">
        <v>157</v>
      </c>
      <c r="DW2" s="12" t="s">
        <v>157</v>
      </c>
      <c r="DX2" s="12" t="s">
        <v>157</v>
      </c>
      <c r="DY2" s="12" t="s">
        <v>157</v>
      </c>
      <c r="DZ2" s="12" t="s">
        <v>157</v>
      </c>
      <c r="EA2" s="12" t="s">
        <v>157</v>
      </c>
      <c r="EB2" s="12" t="s">
        <v>157</v>
      </c>
      <c r="EC2" s="12" t="s">
        <v>157</v>
      </c>
      <c r="ED2" s="12" t="s">
        <v>157</v>
      </c>
      <c r="EE2" s="12" t="s">
        <v>157</v>
      </c>
      <c r="EF2" s="12" t="s">
        <v>157</v>
      </c>
      <c r="EG2" s="12" t="s">
        <v>157</v>
      </c>
      <c r="EH2" s="12" t="s">
        <v>157</v>
      </c>
      <c r="EI2" s="12" t="s">
        <v>157</v>
      </c>
      <c r="EJ2" s="12" t="s">
        <v>157</v>
      </c>
      <c r="EK2" s="12" t="s">
        <v>157</v>
      </c>
      <c r="EL2" s="12" t="s">
        <v>157</v>
      </c>
      <c r="EM2" s="12" t="s">
        <v>157</v>
      </c>
      <c r="EN2" s="12" t="s">
        <v>157</v>
      </c>
      <c r="EO2" s="12" t="s">
        <v>157</v>
      </c>
      <c r="EP2" s="12" t="s">
        <v>157</v>
      </c>
      <c r="EQ2" s="12" t="s">
        <v>157</v>
      </c>
      <c r="ER2" s="12" t="s">
        <v>157</v>
      </c>
      <c r="ES2" s="12" t="s">
        <v>157</v>
      </c>
      <c r="ET2" s="12" t="s">
        <v>157</v>
      </c>
      <c r="EU2" s="12" t="s">
        <v>157</v>
      </c>
      <c r="EV2" s="12" t="s">
        <v>157</v>
      </c>
      <c r="EW2" s="12" t="s">
        <v>157</v>
      </c>
      <c r="EX2" s="12" t="s">
        <v>157</v>
      </c>
      <c r="EY2" s="12" t="s">
        <v>157</v>
      </c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</row>
    <row r="3" ht="15.75" customHeight="1">
      <c r="A3" s="20" t="s">
        <v>163</v>
      </c>
      <c r="B3" s="20"/>
      <c r="C3" s="21"/>
      <c r="D3" s="21"/>
      <c r="E3" s="21"/>
      <c r="F3" s="21"/>
      <c r="G3" s="21"/>
      <c r="H3" s="21"/>
      <c r="I3" s="21"/>
      <c r="J3" s="22"/>
      <c r="K3" s="23"/>
      <c r="L3" s="23"/>
      <c r="M3" s="23"/>
      <c r="N3" s="23"/>
      <c r="O3" s="22" t="s">
        <v>164</v>
      </c>
      <c r="P3" s="24"/>
      <c r="Q3" s="24" t="str">
        <f t="shared" ref="Q3:Q207" si="1">CONCATENATE(R3, "-grained, ", T3, ", ", S3," marble")</f>
        <v>-grained, ,  marble</v>
      </c>
      <c r="R3" s="22" t="s">
        <v>164</v>
      </c>
      <c r="S3" s="22" t="s">
        <v>164</v>
      </c>
      <c r="T3" s="22" t="s">
        <v>164</v>
      </c>
      <c r="U3" s="22" t="s">
        <v>164</v>
      </c>
      <c r="V3" s="22" t="s">
        <v>164</v>
      </c>
      <c r="W3" s="22"/>
      <c r="X3" s="22" t="s">
        <v>164</v>
      </c>
      <c r="Y3" s="22" t="s">
        <v>164</v>
      </c>
      <c r="Z3" s="22" t="s">
        <v>164</v>
      </c>
      <c r="AA3" s="25"/>
      <c r="AB3" s="25"/>
      <c r="AC3" s="25" t="s">
        <v>164</v>
      </c>
      <c r="AD3" s="25" t="s">
        <v>164</v>
      </c>
      <c r="AE3" s="26" t="s">
        <v>165</v>
      </c>
      <c r="AF3" s="25" t="s">
        <v>164</v>
      </c>
      <c r="AG3" s="25" t="s">
        <v>164</v>
      </c>
      <c r="AH3" s="25" t="s">
        <v>164</v>
      </c>
      <c r="AI3" s="25" t="s">
        <v>164</v>
      </c>
      <c r="AJ3" s="25" t="s">
        <v>164</v>
      </c>
      <c r="AK3" s="25" t="s">
        <v>164</v>
      </c>
      <c r="AL3" s="25" t="s">
        <v>164</v>
      </c>
      <c r="AM3" s="27"/>
      <c r="AN3" s="27"/>
      <c r="AO3" s="28">
        <f t="shared" ref="AO3:AO21" si="2">SUM(AP3,AQ3,AR3)</f>
        <v>0</v>
      </c>
      <c r="AP3" s="27" t="s">
        <v>164</v>
      </c>
      <c r="AQ3" s="27" t="s">
        <v>164</v>
      </c>
      <c r="AR3" s="27" t="s">
        <v>164</v>
      </c>
      <c r="AS3" s="27"/>
      <c r="AT3" s="27"/>
      <c r="AU3" s="27"/>
      <c r="AV3" s="27"/>
      <c r="AW3" s="27"/>
      <c r="AX3" s="27"/>
      <c r="AY3" s="27"/>
      <c r="AZ3" s="27"/>
      <c r="BA3" s="27"/>
      <c r="BB3" s="29"/>
      <c r="BC3" s="29"/>
      <c r="BD3" s="27"/>
      <c r="BE3" s="22" t="s">
        <v>164</v>
      </c>
      <c r="BF3" s="22" t="s">
        <v>164</v>
      </c>
      <c r="BG3" s="22" t="s">
        <v>164</v>
      </c>
      <c r="BH3" s="22" t="s">
        <v>164</v>
      </c>
      <c r="BI3" s="22"/>
      <c r="BJ3" s="22" t="s">
        <v>164</v>
      </c>
      <c r="BK3" s="22"/>
      <c r="BL3" s="22" t="s">
        <v>164</v>
      </c>
      <c r="BM3" s="22"/>
      <c r="BN3" s="22" t="s">
        <v>164</v>
      </c>
      <c r="BO3" s="22"/>
      <c r="BP3" s="22"/>
      <c r="BQ3" s="22"/>
      <c r="BR3" s="22" t="s">
        <v>164</v>
      </c>
      <c r="BS3" s="22"/>
      <c r="BT3" s="22" t="s">
        <v>164</v>
      </c>
      <c r="BU3" s="22"/>
      <c r="BV3" s="22"/>
      <c r="BW3" s="22"/>
      <c r="BX3" s="22" t="s">
        <v>164</v>
      </c>
      <c r="BY3" s="22"/>
      <c r="BZ3" s="22" t="s">
        <v>164</v>
      </c>
      <c r="CA3" s="22"/>
      <c r="CB3" s="22" t="s">
        <v>164</v>
      </c>
      <c r="CC3" s="22"/>
      <c r="CD3" s="22" t="s">
        <v>164</v>
      </c>
      <c r="CE3" s="25" t="s">
        <v>164</v>
      </c>
      <c r="CF3" s="25" t="s">
        <v>164</v>
      </c>
      <c r="CG3" s="25" t="s">
        <v>164</v>
      </c>
      <c r="CH3" s="25" t="s">
        <v>164</v>
      </c>
      <c r="CI3" s="25" t="s">
        <v>164</v>
      </c>
      <c r="CJ3" s="25" t="s">
        <v>164</v>
      </c>
      <c r="CK3" s="25" t="s">
        <v>164</v>
      </c>
      <c r="CL3" s="25" t="s">
        <v>164</v>
      </c>
      <c r="CM3" s="25" t="s">
        <v>164</v>
      </c>
      <c r="CN3" s="25" t="s">
        <v>164</v>
      </c>
      <c r="CO3" s="25" t="s">
        <v>164</v>
      </c>
      <c r="CP3" s="25" t="s">
        <v>164</v>
      </c>
      <c r="CQ3" s="25" t="s">
        <v>164</v>
      </c>
      <c r="CR3" s="25" t="s">
        <v>164</v>
      </c>
      <c r="CS3" s="25" t="s">
        <v>164</v>
      </c>
      <c r="CT3" s="25" t="s">
        <v>164</v>
      </c>
      <c r="CU3" s="25" t="s">
        <v>164</v>
      </c>
      <c r="CV3" s="25" t="s">
        <v>164</v>
      </c>
      <c r="CW3" s="30" t="s">
        <v>166</v>
      </c>
      <c r="CX3" s="31">
        <v>1.83</v>
      </c>
      <c r="CY3" s="31">
        <v>-1.99</v>
      </c>
      <c r="CZ3" s="32"/>
      <c r="DA3" s="25" t="s">
        <v>164</v>
      </c>
      <c r="DB3" s="25" t="s">
        <v>164</v>
      </c>
      <c r="DC3" s="25" t="s">
        <v>164</v>
      </c>
      <c r="DD3" s="25" t="s">
        <v>164</v>
      </c>
      <c r="DE3" s="25" t="s">
        <v>164</v>
      </c>
      <c r="DF3" s="25" t="s">
        <v>164</v>
      </c>
      <c r="DG3" s="25" t="s">
        <v>164</v>
      </c>
      <c r="DH3" s="25" t="s">
        <v>164</v>
      </c>
      <c r="DI3" s="25" t="s">
        <v>164</v>
      </c>
      <c r="DJ3" s="25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3"/>
      <c r="ED3" s="33"/>
      <c r="EE3" s="33"/>
      <c r="EF3" s="33"/>
      <c r="EG3" s="33"/>
      <c r="EH3" s="33"/>
      <c r="EI3" s="33"/>
      <c r="EJ3" s="33"/>
      <c r="EK3" s="33"/>
      <c r="EL3" s="33"/>
      <c r="EM3" s="33"/>
      <c r="EN3" s="33"/>
      <c r="EO3" s="33"/>
      <c r="EP3" s="33"/>
      <c r="EQ3" s="33"/>
      <c r="ER3" s="33"/>
      <c r="ES3" s="33"/>
      <c r="ET3" s="33"/>
      <c r="EU3" s="33"/>
      <c r="EV3" s="33"/>
      <c r="EW3" s="33"/>
      <c r="EX3" s="33"/>
      <c r="EY3" s="33"/>
      <c r="EZ3" s="33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</row>
    <row r="4" ht="15.75" customHeight="1">
      <c r="A4" s="20" t="s">
        <v>167</v>
      </c>
      <c r="B4" s="20"/>
      <c r="C4" s="21"/>
      <c r="D4" s="21"/>
      <c r="E4" s="21"/>
      <c r="F4" s="21"/>
      <c r="G4" s="21"/>
      <c r="H4" s="21"/>
      <c r="I4" s="21"/>
      <c r="J4" s="22"/>
      <c r="K4" s="23"/>
      <c r="L4" s="23"/>
      <c r="M4" s="23"/>
      <c r="N4" s="23"/>
      <c r="O4" s="21" t="s">
        <v>164</v>
      </c>
      <c r="P4" s="35"/>
      <c r="Q4" s="24" t="str">
        <f t="shared" si="1"/>
        <v>-grained, ,  marble</v>
      </c>
      <c r="R4" s="21" t="s">
        <v>164</v>
      </c>
      <c r="S4" s="21" t="s">
        <v>164</v>
      </c>
      <c r="U4" s="21" t="s">
        <v>164</v>
      </c>
      <c r="V4" s="21" t="s">
        <v>164</v>
      </c>
      <c r="W4" s="21"/>
      <c r="X4" s="21" t="s">
        <v>164</v>
      </c>
      <c r="Y4" s="21" t="s">
        <v>164</v>
      </c>
      <c r="Z4" s="21" t="s">
        <v>164</v>
      </c>
      <c r="AA4" s="33"/>
      <c r="AB4" s="33"/>
      <c r="AC4" s="33" t="s">
        <v>164</v>
      </c>
      <c r="AD4" s="33" t="s">
        <v>164</v>
      </c>
      <c r="AE4" s="36" t="s">
        <v>165</v>
      </c>
      <c r="AF4" s="33" t="s">
        <v>164</v>
      </c>
      <c r="AG4" s="33" t="s">
        <v>164</v>
      </c>
      <c r="AH4" s="25" t="s">
        <v>164</v>
      </c>
      <c r="AI4" s="25" t="s">
        <v>164</v>
      </c>
      <c r="AJ4" s="25" t="s">
        <v>164</v>
      </c>
      <c r="AK4" s="25" t="s">
        <v>164</v>
      </c>
      <c r="AL4" s="25" t="s">
        <v>164</v>
      </c>
      <c r="AM4" s="27"/>
      <c r="AN4" s="27"/>
      <c r="AO4" s="28">
        <f t="shared" si="2"/>
        <v>0</v>
      </c>
      <c r="AP4" s="27" t="s">
        <v>164</v>
      </c>
      <c r="AQ4" s="27" t="s">
        <v>164</v>
      </c>
      <c r="AR4" s="27" t="s">
        <v>164</v>
      </c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2" t="s">
        <v>164</v>
      </c>
      <c r="BF4" s="22" t="s">
        <v>164</v>
      </c>
      <c r="BG4" s="22" t="s">
        <v>164</v>
      </c>
      <c r="BH4" s="22" t="s">
        <v>164</v>
      </c>
      <c r="BI4" s="22"/>
      <c r="BJ4" s="22" t="s">
        <v>164</v>
      </c>
      <c r="BK4" s="22"/>
      <c r="BL4" s="22" t="s">
        <v>164</v>
      </c>
      <c r="BM4" s="22"/>
      <c r="BN4" s="22" t="s">
        <v>164</v>
      </c>
      <c r="BO4" s="22"/>
      <c r="BP4" s="22"/>
      <c r="BQ4" s="22"/>
      <c r="BR4" s="22" t="s">
        <v>164</v>
      </c>
      <c r="BS4" s="22"/>
      <c r="BT4" s="22" t="s">
        <v>164</v>
      </c>
      <c r="BU4" s="22"/>
      <c r="BV4" s="22"/>
      <c r="BW4" s="22"/>
      <c r="BX4" s="22" t="s">
        <v>164</v>
      </c>
      <c r="BY4" s="22"/>
      <c r="BZ4" s="22" t="s">
        <v>164</v>
      </c>
      <c r="CA4" s="22"/>
      <c r="CB4" s="22" t="s">
        <v>164</v>
      </c>
      <c r="CC4" s="22"/>
      <c r="CD4" s="22" t="s">
        <v>164</v>
      </c>
      <c r="CE4" s="25" t="s">
        <v>164</v>
      </c>
      <c r="CF4" s="25" t="s">
        <v>164</v>
      </c>
      <c r="CG4" s="25" t="s">
        <v>164</v>
      </c>
      <c r="CH4" s="25" t="s">
        <v>164</v>
      </c>
      <c r="CI4" s="25" t="s">
        <v>164</v>
      </c>
      <c r="CJ4" s="25" t="s">
        <v>164</v>
      </c>
      <c r="CK4" s="25" t="s">
        <v>164</v>
      </c>
      <c r="CL4" s="25" t="s">
        <v>164</v>
      </c>
      <c r="CM4" s="25" t="s">
        <v>164</v>
      </c>
      <c r="CN4" s="25" t="s">
        <v>164</v>
      </c>
      <c r="CO4" s="25" t="s">
        <v>164</v>
      </c>
      <c r="CP4" s="25" t="s">
        <v>164</v>
      </c>
      <c r="CQ4" s="25" t="s">
        <v>164</v>
      </c>
      <c r="CR4" s="25" t="s">
        <v>164</v>
      </c>
      <c r="CS4" s="25" t="s">
        <v>164</v>
      </c>
      <c r="CT4" s="25" t="s">
        <v>164</v>
      </c>
      <c r="CU4" s="25" t="s">
        <v>164</v>
      </c>
      <c r="CV4" s="25" t="s">
        <v>164</v>
      </c>
      <c r="CW4" s="37" t="s">
        <v>166</v>
      </c>
      <c r="CX4" s="38">
        <v>2.54</v>
      </c>
      <c r="CY4" s="38">
        <v>-0.6</v>
      </c>
      <c r="CZ4" s="39"/>
      <c r="DA4" s="33" t="s">
        <v>164</v>
      </c>
      <c r="DB4" s="33" t="s">
        <v>164</v>
      </c>
      <c r="DC4" s="33" t="s">
        <v>164</v>
      </c>
      <c r="DD4" s="33" t="s">
        <v>164</v>
      </c>
      <c r="DE4" s="33" t="s">
        <v>164</v>
      </c>
      <c r="DF4" s="33" t="s">
        <v>164</v>
      </c>
      <c r="DG4" s="33" t="s">
        <v>164</v>
      </c>
      <c r="DH4" s="33" t="s">
        <v>164</v>
      </c>
      <c r="DI4" s="33" t="s">
        <v>164</v>
      </c>
      <c r="DJ4" s="25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</row>
    <row r="5" ht="15.75" customHeight="1">
      <c r="A5" s="20" t="s">
        <v>168</v>
      </c>
      <c r="B5" s="20"/>
      <c r="C5" s="21"/>
      <c r="D5" s="21"/>
      <c r="E5" s="21"/>
      <c r="F5" s="21"/>
      <c r="G5" s="21"/>
      <c r="H5" s="21"/>
      <c r="I5" s="21"/>
      <c r="J5" s="22"/>
      <c r="K5" s="23"/>
      <c r="L5" s="23"/>
      <c r="M5" s="23"/>
      <c r="N5" s="23"/>
      <c r="O5" s="22" t="s">
        <v>164</v>
      </c>
      <c r="P5" s="24"/>
      <c r="Q5" s="24" t="str">
        <f t="shared" si="1"/>
        <v>-grained, ,  marble</v>
      </c>
      <c r="R5" s="22" t="s">
        <v>164</v>
      </c>
      <c r="S5" s="22" t="s">
        <v>164</v>
      </c>
      <c r="T5" s="22" t="s">
        <v>164</v>
      </c>
      <c r="U5" s="22" t="s">
        <v>164</v>
      </c>
      <c r="V5" s="22" t="s">
        <v>164</v>
      </c>
      <c r="W5" s="22"/>
      <c r="X5" s="22" t="s">
        <v>164</v>
      </c>
      <c r="Y5" s="22" t="s">
        <v>164</v>
      </c>
      <c r="Z5" s="22" t="s">
        <v>164</v>
      </c>
      <c r="AA5" s="25"/>
      <c r="AB5" s="25"/>
      <c r="AC5" s="25" t="s">
        <v>164</v>
      </c>
      <c r="AD5" s="25" t="s">
        <v>164</v>
      </c>
      <c r="AE5" s="26" t="s">
        <v>165</v>
      </c>
      <c r="AF5" s="25" t="s">
        <v>164</v>
      </c>
      <c r="AG5" s="25" t="s">
        <v>164</v>
      </c>
      <c r="AH5" s="25" t="s">
        <v>164</v>
      </c>
      <c r="AI5" s="25" t="s">
        <v>164</v>
      </c>
      <c r="AJ5" s="25" t="s">
        <v>164</v>
      </c>
      <c r="AK5" s="25" t="s">
        <v>164</v>
      </c>
      <c r="AL5" s="25" t="s">
        <v>164</v>
      </c>
      <c r="AM5" s="27"/>
      <c r="AN5" s="27"/>
      <c r="AO5" s="28">
        <f t="shared" si="2"/>
        <v>0</v>
      </c>
      <c r="AP5" s="27" t="s">
        <v>164</v>
      </c>
      <c r="AQ5" s="27" t="s">
        <v>164</v>
      </c>
      <c r="AR5" s="27" t="s">
        <v>164</v>
      </c>
      <c r="AS5" s="27" t="s">
        <v>164</v>
      </c>
      <c r="AT5" s="27" t="s">
        <v>164</v>
      </c>
      <c r="AU5" s="27" t="s">
        <v>164</v>
      </c>
      <c r="AV5" s="27" t="s">
        <v>164</v>
      </c>
      <c r="AW5" s="27" t="s">
        <v>164</v>
      </c>
      <c r="AX5" s="27" t="s">
        <v>164</v>
      </c>
      <c r="AY5" s="27" t="s">
        <v>164</v>
      </c>
      <c r="AZ5" s="27" t="s">
        <v>164</v>
      </c>
      <c r="BA5" s="27" t="s">
        <v>164</v>
      </c>
      <c r="BB5" s="27" t="s">
        <v>164</v>
      </c>
      <c r="BC5" s="27"/>
      <c r="BD5" s="27" t="s">
        <v>164</v>
      </c>
      <c r="BE5" s="27" t="s">
        <v>164</v>
      </c>
      <c r="BF5" s="27" t="s">
        <v>164</v>
      </c>
      <c r="BG5" s="27" t="s">
        <v>164</v>
      </c>
      <c r="BH5" s="27" t="s">
        <v>164</v>
      </c>
      <c r="BI5" s="22"/>
      <c r="BJ5" s="22" t="s">
        <v>164</v>
      </c>
      <c r="BK5" s="22"/>
      <c r="BL5" s="22" t="s">
        <v>164</v>
      </c>
      <c r="BM5" s="22"/>
      <c r="BN5" s="22" t="s">
        <v>164</v>
      </c>
      <c r="BO5" s="22"/>
      <c r="BP5" s="22"/>
      <c r="BQ5" s="22"/>
      <c r="BR5" s="22" t="s">
        <v>164</v>
      </c>
      <c r="BS5" s="22"/>
      <c r="BT5" s="22" t="s">
        <v>164</v>
      </c>
      <c r="BU5" s="22"/>
      <c r="BV5" s="22"/>
      <c r="BW5" s="22"/>
      <c r="BX5" s="22" t="s">
        <v>164</v>
      </c>
      <c r="BY5" s="22"/>
      <c r="BZ5" s="22" t="s">
        <v>164</v>
      </c>
      <c r="CA5" s="22"/>
      <c r="CB5" s="22" t="s">
        <v>164</v>
      </c>
      <c r="CC5" s="22"/>
      <c r="CD5" s="22" t="s">
        <v>164</v>
      </c>
      <c r="CE5" s="25" t="s">
        <v>164</v>
      </c>
      <c r="CF5" s="25" t="s">
        <v>164</v>
      </c>
      <c r="CG5" s="25" t="s">
        <v>164</v>
      </c>
      <c r="CH5" s="25" t="s">
        <v>164</v>
      </c>
      <c r="CI5" s="25" t="s">
        <v>164</v>
      </c>
      <c r="CJ5" s="25" t="s">
        <v>164</v>
      </c>
      <c r="CK5" s="25" t="s">
        <v>164</v>
      </c>
      <c r="CL5" s="25" t="s">
        <v>164</v>
      </c>
      <c r="CM5" s="25" t="s">
        <v>164</v>
      </c>
      <c r="CN5" s="25" t="s">
        <v>164</v>
      </c>
      <c r="CO5" s="25" t="s">
        <v>164</v>
      </c>
      <c r="CP5" s="25" t="s">
        <v>164</v>
      </c>
      <c r="CQ5" s="25" t="s">
        <v>164</v>
      </c>
      <c r="CR5" s="25" t="s">
        <v>164</v>
      </c>
      <c r="CS5" s="25" t="s">
        <v>164</v>
      </c>
      <c r="CT5" s="25" t="s">
        <v>164</v>
      </c>
      <c r="CU5" s="25" t="s">
        <v>164</v>
      </c>
      <c r="CV5" s="25" t="s">
        <v>164</v>
      </c>
      <c r="CW5" s="37" t="s">
        <v>166</v>
      </c>
      <c r="CX5" s="38">
        <v>2.42</v>
      </c>
      <c r="CY5" s="38">
        <v>-2.17</v>
      </c>
      <c r="CZ5" s="39"/>
      <c r="DA5" s="33" t="s">
        <v>164</v>
      </c>
      <c r="DB5" s="33" t="s">
        <v>164</v>
      </c>
      <c r="DC5" s="33" t="s">
        <v>164</v>
      </c>
      <c r="DD5" s="33" t="s">
        <v>164</v>
      </c>
      <c r="DE5" s="33" t="s">
        <v>164</v>
      </c>
      <c r="DF5" s="33" t="s">
        <v>164</v>
      </c>
      <c r="DG5" s="33" t="s">
        <v>164</v>
      </c>
      <c r="DH5" s="33" t="s">
        <v>164</v>
      </c>
      <c r="DI5" s="33" t="s">
        <v>164</v>
      </c>
      <c r="DJ5" s="25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40"/>
      <c r="FB5" s="40"/>
      <c r="FC5" s="40"/>
      <c r="FD5" s="40"/>
      <c r="FE5" s="40"/>
      <c r="FF5" s="40"/>
      <c r="FG5" s="40"/>
      <c r="FH5" s="40"/>
      <c r="FI5" s="40"/>
      <c r="FJ5" s="40"/>
      <c r="FK5" s="40"/>
      <c r="FL5" s="40"/>
      <c r="FM5" s="40"/>
      <c r="FN5" s="40"/>
      <c r="FO5" s="40"/>
      <c r="FP5" s="40"/>
      <c r="FQ5" s="40"/>
      <c r="FR5" s="40"/>
      <c r="FS5" s="40"/>
      <c r="FT5" s="40"/>
      <c r="FU5" s="40"/>
      <c r="FV5" s="40"/>
      <c r="FW5" s="40"/>
      <c r="FX5" s="40"/>
      <c r="FY5" s="40"/>
      <c r="FZ5" s="40"/>
      <c r="GA5" s="40"/>
    </row>
    <row r="6">
      <c r="A6" s="20" t="s">
        <v>169</v>
      </c>
      <c r="B6" s="20"/>
      <c r="C6" s="21"/>
      <c r="D6" s="21"/>
      <c r="E6" s="21"/>
      <c r="F6" s="21"/>
      <c r="G6" s="21"/>
      <c r="H6" s="21"/>
      <c r="I6" s="21"/>
      <c r="J6" s="22"/>
      <c r="K6" s="23"/>
      <c r="L6" s="23"/>
      <c r="M6" s="23"/>
      <c r="N6" s="23"/>
      <c r="O6" s="21" t="s">
        <v>164</v>
      </c>
      <c r="P6" s="35"/>
      <c r="Q6" s="24" t="str">
        <f t="shared" si="1"/>
        <v>-grained, ,  marble</v>
      </c>
      <c r="R6" s="22" t="s">
        <v>164</v>
      </c>
      <c r="S6" s="22" t="s">
        <v>164</v>
      </c>
      <c r="T6" s="21" t="s">
        <v>164</v>
      </c>
      <c r="U6" s="22" t="s">
        <v>164</v>
      </c>
      <c r="V6" s="22" t="s">
        <v>164</v>
      </c>
      <c r="W6" s="22"/>
      <c r="X6" s="22" t="s">
        <v>164</v>
      </c>
      <c r="Y6" s="22" t="s">
        <v>164</v>
      </c>
      <c r="Z6" s="22" t="s">
        <v>164</v>
      </c>
      <c r="AA6" s="25"/>
      <c r="AB6" s="25"/>
      <c r="AC6" s="25" t="s">
        <v>164</v>
      </c>
      <c r="AD6" s="25" t="s">
        <v>164</v>
      </c>
      <c r="AE6" s="26" t="s">
        <v>165</v>
      </c>
      <c r="AF6" s="25" t="s">
        <v>164</v>
      </c>
      <c r="AG6" s="25" t="s">
        <v>164</v>
      </c>
      <c r="AH6" s="25" t="s">
        <v>164</v>
      </c>
      <c r="AI6" s="25" t="s">
        <v>164</v>
      </c>
      <c r="AJ6" s="25" t="s">
        <v>164</v>
      </c>
      <c r="AK6" s="25" t="s">
        <v>164</v>
      </c>
      <c r="AL6" s="25" t="s">
        <v>164</v>
      </c>
      <c r="AM6" s="27"/>
      <c r="AN6" s="27"/>
      <c r="AO6" s="28">
        <f t="shared" si="2"/>
        <v>0</v>
      </c>
      <c r="AP6" s="27" t="s">
        <v>164</v>
      </c>
      <c r="AQ6" s="27" t="s">
        <v>164</v>
      </c>
      <c r="AR6" s="27" t="s">
        <v>164</v>
      </c>
      <c r="AS6" s="27" t="s">
        <v>164</v>
      </c>
      <c r="AT6" s="27" t="s">
        <v>164</v>
      </c>
      <c r="AU6" s="27" t="s">
        <v>164</v>
      </c>
      <c r="AV6" s="27" t="s">
        <v>164</v>
      </c>
      <c r="AW6" s="27" t="s">
        <v>164</v>
      </c>
      <c r="AX6" s="27" t="s">
        <v>164</v>
      </c>
      <c r="AY6" s="27" t="s">
        <v>164</v>
      </c>
      <c r="AZ6" s="27" t="s">
        <v>164</v>
      </c>
      <c r="BA6" s="27" t="s">
        <v>164</v>
      </c>
      <c r="BB6" s="27" t="s">
        <v>164</v>
      </c>
      <c r="BC6" s="27"/>
      <c r="BD6" s="27" t="s">
        <v>164</v>
      </c>
      <c r="BE6" s="27" t="s">
        <v>164</v>
      </c>
      <c r="BF6" s="27" t="s">
        <v>164</v>
      </c>
      <c r="BG6" s="27" t="s">
        <v>164</v>
      </c>
      <c r="BH6" s="27" t="s">
        <v>164</v>
      </c>
      <c r="BI6" s="22"/>
      <c r="BJ6" s="22" t="s">
        <v>164</v>
      </c>
      <c r="BK6" s="22"/>
      <c r="BL6" s="22" t="s">
        <v>164</v>
      </c>
      <c r="BM6" s="22"/>
      <c r="BN6" s="22" t="s">
        <v>164</v>
      </c>
      <c r="BO6" s="22"/>
      <c r="BP6" s="22"/>
      <c r="BQ6" s="22"/>
      <c r="BR6" s="22" t="s">
        <v>164</v>
      </c>
      <c r="BS6" s="22"/>
      <c r="BT6" s="22" t="s">
        <v>164</v>
      </c>
      <c r="BU6" s="22"/>
      <c r="BV6" s="22"/>
      <c r="BW6" s="22"/>
      <c r="BX6" s="22" t="s">
        <v>164</v>
      </c>
      <c r="BY6" s="22"/>
      <c r="BZ6" s="22" t="s">
        <v>164</v>
      </c>
      <c r="CA6" s="22"/>
      <c r="CB6" s="22" t="s">
        <v>164</v>
      </c>
      <c r="CC6" s="22"/>
      <c r="CD6" s="22" t="s">
        <v>164</v>
      </c>
      <c r="CE6" s="25" t="s">
        <v>164</v>
      </c>
      <c r="CF6" s="25" t="s">
        <v>164</v>
      </c>
      <c r="CG6" s="25" t="s">
        <v>164</v>
      </c>
      <c r="CH6" s="25" t="s">
        <v>164</v>
      </c>
      <c r="CI6" s="25" t="s">
        <v>164</v>
      </c>
      <c r="CJ6" s="25" t="s">
        <v>164</v>
      </c>
      <c r="CK6" s="25" t="s">
        <v>164</v>
      </c>
      <c r="CL6" s="25" t="s">
        <v>164</v>
      </c>
      <c r="CM6" s="25" t="s">
        <v>164</v>
      </c>
      <c r="CN6" s="25" t="s">
        <v>164</v>
      </c>
      <c r="CO6" s="25" t="s">
        <v>164</v>
      </c>
      <c r="CP6" s="25" t="s">
        <v>164</v>
      </c>
      <c r="CQ6" s="25" t="s">
        <v>164</v>
      </c>
      <c r="CR6" s="25" t="s">
        <v>164</v>
      </c>
      <c r="CS6" s="25" t="s">
        <v>164</v>
      </c>
      <c r="CT6" s="25" t="s">
        <v>164</v>
      </c>
      <c r="CU6" s="25" t="s">
        <v>164</v>
      </c>
      <c r="CV6" s="25" t="s">
        <v>164</v>
      </c>
      <c r="CW6" s="37" t="s">
        <v>166</v>
      </c>
      <c r="CX6" s="38">
        <v>3.59</v>
      </c>
      <c r="CY6" s="41">
        <v>-3.91</v>
      </c>
      <c r="CZ6" s="42"/>
      <c r="DA6" s="33" t="s">
        <v>164</v>
      </c>
      <c r="DB6" s="33" t="s">
        <v>164</v>
      </c>
      <c r="DC6" s="33" t="s">
        <v>164</v>
      </c>
      <c r="DD6" s="33" t="s">
        <v>164</v>
      </c>
      <c r="DE6" s="33" t="s">
        <v>164</v>
      </c>
      <c r="DF6" s="33" t="s">
        <v>164</v>
      </c>
      <c r="DG6" s="33" t="s">
        <v>164</v>
      </c>
      <c r="DH6" s="33" t="s">
        <v>164</v>
      </c>
      <c r="DI6" s="33" t="s">
        <v>164</v>
      </c>
      <c r="DJ6" s="25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</row>
    <row r="7" ht="15.75" customHeight="1">
      <c r="A7" s="20" t="s">
        <v>170</v>
      </c>
      <c r="B7" s="20"/>
      <c r="C7" s="21"/>
      <c r="D7" s="21"/>
      <c r="E7" s="21"/>
      <c r="F7" s="21"/>
      <c r="G7" s="21"/>
      <c r="H7" s="21"/>
      <c r="I7" s="21"/>
      <c r="J7" s="22"/>
      <c r="K7" s="23"/>
      <c r="L7" s="23"/>
      <c r="M7" s="23"/>
      <c r="N7" s="23"/>
      <c r="O7" s="21" t="s">
        <v>164</v>
      </c>
      <c r="P7" s="35"/>
      <c r="Q7" s="24" t="str">
        <f t="shared" si="1"/>
        <v>-grained, ,  marble</v>
      </c>
      <c r="R7" s="22" t="s">
        <v>164</v>
      </c>
      <c r="S7" s="22" t="s">
        <v>164</v>
      </c>
      <c r="T7" s="22" t="s">
        <v>164</v>
      </c>
      <c r="U7" s="22" t="s">
        <v>164</v>
      </c>
      <c r="V7" s="22" t="s">
        <v>164</v>
      </c>
      <c r="W7" s="22"/>
      <c r="X7" s="22" t="s">
        <v>164</v>
      </c>
      <c r="Y7" s="22" t="s">
        <v>164</v>
      </c>
      <c r="Z7" s="22" t="s">
        <v>164</v>
      </c>
      <c r="AA7" s="25"/>
      <c r="AB7" s="25"/>
      <c r="AC7" s="25" t="s">
        <v>164</v>
      </c>
      <c r="AD7" s="25" t="s">
        <v>164</v>
      </c>
      <c r="AE7" s="26" t="s">
        <v>165</v>
      </c>
      <c r="AF7" s="25" t="s">
        <v>164</v>
      </c>
      <c r="AG7" s="25" t="s">
        <v>164</v>
      </c>
      <c r="AH7" s="25" t="s">
        <v>164</v>
      </c>
      <c r="AI7" s="25" t="s">
        <v>164</v>
      </c>
      <c r="AJ7" s="25" t="s">
        <v>164</v>
      </c>
      <c r="AK7" s="25" t="s">
        <v>164</v>
      </c>
      <c r="AL7" s="25" t="s">
        <v>164</v>
      </c>
      <c r="AM7" s="27"/>
      <c r="AN7" s="27"/>
      <c r="AO7" s="28">
        <f t="shared" si="2"/>
        <v>0</v>
      </c>
      <c r="AP7" s="27" t="s">
        <v>164</v>
      </c>
      <c r="AQ7" s="27" t="s">
        <v>164</v>
      </c>
      <c r="AR7" s="27" t="s">
        <v>164</v>
      </c>
      <c r="AS7" s="27" t="s">
        <v>164</v>
      </c>
      <c r="AT7" s="27" t="s">
        <v>164</v>
      </c>
      <c r="AU7" s="27" t="s">
        <v>164</v>
      </c>
      <c r="AV7" s="27" t="s">
        <v>164</v>
      </c>
      <c r="AW7" s="27" t="s">
        <v>164</v>
      </c>
      <c r="AX7" s="27" t="s">
        <v>164</v>
      </c>
      <c r="AY7" s="27" t="s">
        <v>164</v>
      </c>
      <c r="AZ7" s="27" t="s">
        <v>164</v>
      </c>
      <c r="BA7" s="27" t="s">
        <v>164</v>
      </c>
      <c r="BB7" s="27" t="s">
        <v>164</v>
      </c>
      <c r="BC7" s="27"/>
      <c r="BD7" s="27" t="s">
        <v>164</v>
      </c>
      <c r="BE7" s="27" t="s">
        <v>164</v>
      </c>
      <c r="BF7" s="27" t="s">
        <v>164</v>
      </c>
      <c r="BG7" s="27" t="s">
        <v>164</v>
      </c>
      <c r="BH7" s="27" t="s">
        <v>164</v>
      </c>
      <c r="BI7" s="22"/>
      <c r="BJ7" s="22" t="s">
        <v>164</v>
      </c>
      <c r="BK7" s="22"/>
      <c r="BL7" s="22" t="s">
        <v>164</v>
      </c>
      <c r="BM7" s="22"/>
      <c r="BN7" s="22" t="s">
        <v>164</v>
      </c>
      <c r="BO7" s="22"/>
      <c r="BP7" s="22"/>
      <c r="BQ7" s="22"/>
      <c r="BR7" s="22" t="s">
        <v>164</v>
      </c>
      <c r="BS7" s="22"/>
      <c r="BT7" s="22" t="s">
        <v>164</v>
      </c>
      <c r="BU7" s="22"/>
      <c r="BV7" s="22"/>
      <c r="BW7" s="22"/>
      <c r="BX7" s="22" t="s">
        <v>164</v>
      </c>
      <c r="BY7" s="22"/>
      <c r="BZ7" s="22" t="s">
        <v>164</v>
      </c>
      <c r="CA7" s="22"/>
      <c r="CB7" s="22" t="s">
        <v>164</v>
      </c>
      <c r="CC7" s="22"/>
      <c r="CD7" s="22" t="s">
        <v>164</v>
      </c>
      <c r="CE7" s="25" t="s">
        <v>164</v>
      </c>
      <c r="CF7" s="25" t="s">
        <v>164</v>
      </c>
      <c r="CG7" s="25" t="s">
        <v>164</v>
      </c>
      <c r="CH7" s="25" t="s">
        <v>164</v>
      </c>
      <c r="CI7" s="25" t="s">
        <v>164</v>
      </c>
      <c r="CJ7" s="25" t="s">
        <v>164</v>
      </c>
      <c r="CK7" s="25" t="s">
        <v>164</v>
      </c>
      <c r="CL7" s="25" t="s">
        <v>164</v>
      </c>
      <c r="CM7" s="25" t="s">
        <v>164</v>
      </c>
      <c r="CN7" s="25" t="s">
        <v>164</v>
      </c>
      <c r="CO7" s="25" t="s">
        <v>164</v>
      </c>
      <c r="CP7" s="25" t="s">
        <v>164</v>
      </c>
      <c r="CQ7" s="25" t="s">
        <v>164</v>
      </c>
      <c r="CR7" s="25" t="s">
        <v>164</v>
      </c>
      <c r="CS7" s="25" t="s">
        <v>164</v>
      </c>
      <c r="CT7" s="25" t="s">
        <v>164</v>
      </c>
      <c r="CU7" s="25" t="s">
        <v>164</v>
      </c>
      <c r="CV7" s="25" t="s">
        <v>164</v>
      </c>
      <c r="CW7" s="37" t="s">
        <v>166</v>
      </c>
      <c r="CX7" s="38">
        <v>2.26</v>
      </c>
      <c r="CY7" s="41">
        <v>-1.69</v>
      </c>
      <c r="CZ7" s="42"/>
      <c r="DA7" s="33" t="s">
        <v>164</v>
      </c>
      <c r="DB7" s="33" t="s">
        <v>164</v>
      </c>
      <c r="DC7" s="33" t="s">
        <v>164</v>
      </c>
      <c r="DD7" s="33" t="s">
        <v>164</v>
      </c>
      <c r="DE7" s="33" t="s">
        <v>164</v>
      </c>
      <c r="DF7" s="33" t="s">
        <v>164</v>
      </c>
      <c r="DG7" s="33" t="s">
        <v>164</v>
      </c>
      <c r="DH7" s="33" t="s">
        <v>164</v>
      </c>
      <c r="DI7" s="33" t="s">
        <v>164</v>
      </c>
      <c r="DJ7" s="25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</row>
    <row r="8" ht="15.75" customHeight="1">
      <c r="A8" s="20" t="s">
        <v>171</v>
      </c>
      <c r="B8" s="20"/>
      <c r="C8" s="21"/>
      <c r="D8" s="21"/>
      <c r="E8" s="21"/>
      <c r="F8" s="21"/>
      <c r="G8" s="21"/>
      <c r="H8" s="21"/>
      <c r="I8" s="21"/>
      <c r="J8" s="22"/>
      <c r="K8" s="23"/>
      <c r="L8" s="23"/>
      <c r="M8" s="23"/>
      <c r="N8" s="23"/>
      <c r="O8" s="21" t="s">
        <v>164</v>
      </c>
      <c r="P8" s="35"/>
      <c r="Q8" s="24" t="str">
        <f t="shared" si="1"/>
        <v>-grained, ,  marble</v>
      </c>
      <c r="R8" s="22" t="s">
        <v>164</v>
      </c>
      <c r="S8" s="22" t="s">
        <v>164</v>
      </c>
      <c r="T8" s="22" t="s">
        <v>164</v>
      </c>
      <c r="U8" s="22" t="s">
        <v>164</v>
      </c>
      <c r="V8" s="22" t="s">
        <v>164</v>
      </c>
      <c r="W8" s="22"/>
      <c r="X8" s="22" t="s">
        <v>164</v>
      </c>
      <c r="Y8" s="22" t="s">
        <v>164</v>
      </c>
      <c r="Z8" s="22" t="s">
        <v>164</v>
      </c>
      <c r="AA8" s="25"/>
      <c r="AB8" s="25"/>
      <c r="AC8" s="25" t="s">
        <v>164</v>
      </c>
      <c r="AD8" s="25" t="s">
        <v>164</v>
      </c>
      <c r="AE8" s="26" t="s">
        <v>165</v>
      </c>
      <c r="AF8" s="25" t="s">
        <v>164</v>
      </c>
      <c r="AG8" s="25" t="s">
        <v>164</v>
      </c>
      <c r="AH8" s="25" t="s">
        <v>164</v>
      </c>
      <c r="AI8" s="25" t="s">
        <v>164</v>
      </c>
      <c r="AJ8" s="25" t="s">
        <v>164</v>
      </c>
      <c r="AK8" s="25" t="s">
        <v>164</v>
      </c>
      <c r="AL8" s="25" t="s">
        <v>164</v>
      </c>
      <c r="AM8" s="21"/>
      <c r="AN8" s="22"/>
      <c r="AO8" s="43">
        <f t="shared" si="2"/>
        <v>0</v>
      </c>
      <c r="AP8" s="22" t="s">
        <v>164</v>
      </c>
      <c r="AQ8" s="22" t="s">
        <v>164</v>
      </c>
      <c r="AR8" s="22" t="s">
        <v>164</v>
      </c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 t="s">
        <v>164</v>
      </c>
      <c r="BF8" s="22" t="s">
        <v>164</v>
      </c>
      <c r="BG8" s="22" t="s">
        <v>164</v>
      </c>
      <c r="BH8" s="22" t="s">
        <v>164</v>
      </c>
      <c r="BI8" s="22"/>
      <c r="BJ8" s="22" t="s">
        <v>164</v>
      </c>
      <c r="BK8" s="22"/>
      <c r="BL8" s="22" t="s">
        <v>164</v>
      </c>
      <c r="BM8" s="22"/>
      <c r="BN8" s="22" t="s">
        <v>164</v>
      </c>
      <c r="BO8" s="22"/>
      <c r="BP8" s="22"/>
      <c r="BQ8" s="22"/>
      <c r="BR8" s="22" t="s">
        <v>164</v>
      </c>
      <c r="BS8" s="22"/>
      <c r="BT8" s="22" t="s">
        <v>164</v>
      </c>
      <c r="BU8" s="22"/>
      <c r="BV8" s="22"/>
      <c r="BW8" s="22"/>
      <c r="BX8" s="22" t="s">
        <v>164</v>
      </c>
      <c r="BY8" s="22"/>
      <c r="BZ8" s="22" t="s">
        <v>164</v>
      </c>
      <c r="CA8" s="22"/>
      <c r="CB8" s="22" t="s">
        <v>164</v>
      </c>
      <c r="CC8" s="22"/>
      <c r="CD8" s="22" t="s">
        <v>164</v>
      </c>
      <c r="CE8" s="25" t="s">
        <v>164</v>
      </c>
      <c r="CF8" s="25" t="s">
        <v>164</v>
      </c>
      <c r="CG8" s="25" t="s">
        <v>164</v>
      </c>
      <c r="CH8" s="25" t="s">
        <v>164</v>
      </c>
      <c r="CI8" s="25" t="s">
        <v>164</v>
      </c>
      <c r="CJ8" s="25" t="s">
        <v>164</v>
      </c>
      <c r="CK8" s="25" t="s">
        <v>164</v>
      </c>
      <c r="CL8" s="25" t="s">
        <v>164</v>
      </c>
      <c r="CM8" s="25" t="s">
        <v>164</v>
      </c>
      <c r="CN8" s="25" t="s">
        <v>164</v>
      </c>
      <c r="CO8" s="25" t="s">
        <v>164</v>
      </c>
      <c r="CP8" s="25" t="s">
        <v>164</v>
      </c>
      <c r="CQ8" s="25" t="s">
        <v>164</v>
      </c>
      <c r="CR8" s="25" t="s">
        <v>164</v>
      </c>
      <c r="CS8" s="25" t="s">
        <v>164</v>
      </c>
      <c r="CT8" s="25" t="s">
        <v>164</v>
      </c>
      <c r="CU8" s="25" t="s">
        <v>164</v>
      </c>
      <c r="CV8" s="25" t="s">
        <v>164</v>
      </c>
      <c r="CW8" s="37" t="s">
        <v>166</v>
      </c>
      <c r="CX8" s="38">
        <v>2.28</v>
      </c>
      <c r="CY8" s="41">
        <v>-2.94</v>
      </c>
      <c r="CZ8" s="42"/>
      <c r="DA8" s="33" t="s">
        <v>164</v>
      </c>
      <c r="DB8" s="33" t="s">
        <v>164</v>
      </c>
      <c r="DC8" s="33" t="s">
        <v>164</v>
      </c>
      <c r="DD8" s="33" t="s">
        <v>164</v>
      </c>
      <c r="DE8" s="33" t="s">
        <v>164</v>
      </c>
      <c r="DF8" s="33" t="s">
        <v>164</v>
      </c>
      <c r="DG8" s="33" t="s">
        <v>164</v>
      </c>
      <c r="DH8" s="33" t="s">
        <v>164</v>
      </c>
      <c r="DI8" s="33" t="s">
        <v>164</v>
      </c>
      <c r="DJ8" s="25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</row>
    <row r="9" ht="15.75" customHeight="1">
      <c r="A9" s="20" t="s">
        <v>172</v>
      </c>
      <c r="B9" s="20"/>
      <c r="C9" s="21"/>
      <c r="D9" s="21"/>
      <c r="E9" s="21"/>
      <c r="F9" s="21"/>
      <c r="G9" s="21"/>
      <c r="H9" s="21"/>
      <c r="I9" s="21"/>
      <c r="J9" s="22"/>
      <c r="K9" s="23"/>
      <c r="L9" s="23"/>
      <c r="M9" s="23"/>
      <c r="N9" s="23"/>
      <c r="O9" s="21" t="s">
        <v>164</v>
      </c>
      <c r="P9" s="35"/>
      <c r="Q9" s="24" t="str">
        <f t="shared" si="1"/>
        <v>-grained, ,  marble</v>
      </c>
      <c r="R9" s="22" t="s">
        <v>164</v>
      </c>
      <c r="S9" s="22" t="s">
        <v>164</v>
      </c>
      <c r="T9" s="22" t="s">
        <v>164</v>
      </c>
      <c r="U9" s="22" t="s">
        <v>164</v>
      </c>
      <c r="V9" s="22" t="s">
        <v>164</v>
      </c>
      <c r="W9" s="22"/>
      <c r="X9" s="22" t="s">
        <v>164</v>
      </c>
      <c r="Y9" s="22" t="s">
        <v>164</v>
      </c>
      <c r="Z9" s="22" t="s">
        <v>164</v>
      </c>
      <c r="AA9" s="25"/>
      <c r="AB9" s="25"/>
      <c r="AC9" s="25" t="s">
        <v>164</v>
      </c>
      <c r="AD9" s="25" t="s">
        <v>164</v>
      </c>
      <c r="AE9" s="26" t="s">
        <v>165</v>
      </c>
      <c r="AF9" s="25" t="s">
        <v>164</v>
      </c>
      <c r="AG9" s="25" t="s">
        <v>164</v>
      </c>
      <c r="AH9" s="25" t="s">
        <v>164</v>
      </c>
      <c r="AI9" s="25" t="s">
        <v>164</v>
      </c>
      <c r="AJ9" s="25" t="s">
        <v>164</v>
      </c>
      <c r="AK9" s="25" t="s">
        <v>164</v>
      </c>
      <c r="AL9" s="25" t="s">
        <v>164</v>
      </c>
      <c r="AM9" s="21"/>
      <c r="AN9" s="22"/>
      <c r="AO9" s="43">
        <f t="shared" si="2"/>
        <v>0</v>
      </c>
      <c r="AP9" s="22" t="s">
        <v>164</v>
      </c>
      <c r="AQ9" s="22" t="s">
        <v>164</v>
      </c>
      <c r="AR9" s="22" t="s">
        <v>164</v>
      </c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 t="s">
        <v>164</v>
      </c>
      <c r="BF9" s="22" t="s">
        <v>164</v>
      </c>
      <c r="BG9" s="22" t="s">
        <v>164</v>
      </c>
      <c r="BH9" s="22" t="s">
        <v>164</v>
      </c>
      <c r="BI9" s="22"/>
      <c r="BJ9" s="22" t="s">
        <v>164</v>
      </c>
      <c r="BK9" s="22"/>
      <c r="BL9" s="22" t="s">
        <v>164</v>
      </c>
      <c r="BM9" s="22"/>
      <c r="BN9" s="22" t="s">
        <v>164</v>
      </c>
      <c r="BO9" s="22"/>
      <c r="BP9" s="22"/>
      <c r="BQ9" s="22"/>
      <c r="BR9" s="22" t="s">
        <v>164</v>
      </c>
      <c r="BS9" s="22"/>
      <c r="BT9" s="22" t="s">
        <v>164</v>
      </c>
      <c r="BU9" s="22"/>
      <c r="BV9" s="22"/>
      <c r="BW9" s="22"/>
      <c r="BX9" s="22" t="s">
        <v>164</v>
      </c>
      <c r="BY9" s="22"/>
      <c r="BZ9" s="22" t="s">
        <v>164</v>
      </c>
      <c r="CA9" s="22"/>
      <c r="CB9" s="22" t="s">
        <v>164</v>
      </c>
      <c r="CC9" s="22"/>
      <c r="CD9" s="22" t="s">
        <v>164</v>
      </c>
      <c r="CE9" s="25" t="s">
        <v>164</v>
      </c>
      <c r="CF9" s="25" t="s">
        <v>164</v>
      </c>
      <c r="CG9" s="25" t="s">
        <v>164</v>
      </c>
      <c r="CH9" s="25" t="s">
        <v>164</v>
      </c>
      <c r="CI9" s="25" t="s">
        <v>164</v>
      </c>
      <c r="CJ9" s="25" t="s">
        <v>164</v>
      </c>
      <c r="CK9" s="25" t="s">
        <v>164</v>
      </c>
      <c r="CL9" s="25" t="s">
        <v>164</v>
      </c>
      <c r="CM9" s="25" t="s">
        <v>164</v>
      </c>
      <c r="CN9" s="25" t="s">
        <v>164</v>
      </c>
      <c r="CO9" s="25" t="s">
        <v>164</v>
      </c>
      <c r="CP9" s="25" t="s">
        <v>164</v>
      </c>
      <c r="CQ9" s="25" t="s">
        <v>164</v>
      </c>
      <c r="CR9" s="25" t="s">
        <v>164</v>
      </c>
      <c r="CS9" s="25" t="s">
        <v>164</v>
      </c>
      <c r="CT9" s="25" t="s">
        <v>164</v>
      </c>
      <c r="CU9" s="25" t="s">
        <v>164</v>
      </c>
      <c r="CV9" s="25" t="s">
        <v>164</v>
      </c>
      <c r="CW9" s="37" t="s">
        <v>166</v>
      </c>
      <c r="CX9" s="38">
        <v>2.03</v>
      </c>
      <c r="CY9" s="41">
        <v>-1.81</v>
      </c>
      <c r="CZ9" s="42"/>
      <c r="DA9" s="33" t="s">
        <v>164</v>
      </c>
      <c r="DB9" s="33" t="s">
        <v>164</v>
      </c>
      <c r="DC9" s="33" t="s">
        <v>164</v>
      </c>
      <c r="DD9" s="33" t="s">
        <v>164</v>
      </c>
      <c r="DE9" s="33" t="s">
        <v>164</v>
      </c>
      <c r="DF9" s="33" t="s">
        <v>164</v>
      </c>
      <c r="DG9" s="33" t="s">
        <v>164</v>
      </c>
      <c r="DH9" s="33" t="s">
        <v>164</v>
      </c>
      <c r="DI9" s="33" t="s">
        <v>164</v>
      </c>
      <c r="DJ9" s="25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</row>
    <row r="10" ht="15.75" customHeight="1">
      <c r="A10" s="20" t="s">
        <v>173</v>
      </c>
      <c r="B10" s="20"/>
      <c r="C10" s="21"/>
      <c r="D10" s="21"/>
      <c r="E10" s="21"/>
      <c r="F10" s="21"/>
      <c r="G10" s="21"/>
      <c r="H10" s="21"/>
      <c r="I10" s="21"/>
      <c r="J10" s="22"/>
      <c r="K10" s="23"/>
      <c r="L10" s="23"/>
      <c r="M10" s="23"/>
      <c r="N10" s="23"/>
      <c r="O10" s="21" t="s">
        <v>164</v>
      </c>
      <c r="P10" s="35"/>
      <c r="Q10" s="24" t="str">
        <f t="shared" si="1"/>
        <v>-grained, ,  marble</v>
      </c>
      <c r="R10" s="22" t="s">
        <v>164</v>
      </c>
      <c r="S10" s="22" t="s">
        <v>164</v>
      </c>
      <c r="T10" s="22" t="s">
        <v>164</v>
      </c>
      <c r="U10" s="22" t="s">
        <v>164</v>
      </c>
      <c r="V10" s="22" t="s">
        <v>164</v>
      </c>
      <c r="W10" s="22"/>
      <c r="X10" s="22" t="s">
        <v>164</v>
      </c>
      <c r="Y10" s="22" t="s">
        <v>164</v>
      </c>
      <c r="Z10" s="22" t="s">
        <v>164</v>
      </c>
      <c r="AA10" s="25"/>
      <c r="AB10" s="25"/>
      <c r="AC10" s="25" t="s">
        <v>164</v>
      </c>
      <c r="AD10" s="25" t="s">
        <v>164</v>
      </c>
      <c r="AE10" s="26" t="s">
        <v>165</v>
      </c>
      <c r="AF10" s="25" t="s">
        <v>164</v>
      </c>
      <c r="AG10" s="25" t="s">
        <v>164</v>
      </c>
      <c r="AH10" s="25" t="s">
        <v>164</v>
      </c>
      <c r="AI10" s="25" t="s">
        <v>164</v>
      </c>
      <c r="AJ10" s="25" t="s">
        <v>164</v>
      </c>
      <c r="AK10" s="25" t="s">
        <v>164</v>
      </c>
      <c r="AL10" s="25" t="s">
        <v>164</v>
      </c>
      <c r="AM10" s="21"/>
      <c r="AN10" s="22"/>
      <c r="AO10" s="43">
        <f t="shared" si="2"/>
        <v>0</v>
      </c>
      <c r="AP10" s="22" t="s">
        <v>164</v>
      </c>
      <c r="AQ10" s="22" t="s">
        <v>164</v>
      </c>
      <c r="AR10" s="22" t="s">
        <v>164</v>
      </c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 t="s">
        <v>164</v>
      </c>
      <c r="BF10" s="22" t="s">
        <v>164</v>
      </c>
      <c r="BG10" s="22" t="s">
        <v>164</v>
      </c>
      <c r="BH10" s="22" t="s">
        <v>164</v>
      </c>
      <c r="BI10" s="22"/>
      <c r="BJ10" s="22" t="s">
        <v>164</v>
      </c>
      <c r="BK10" s="22"/>
      <c r="BL10" s="22" t="s">
        <v>164</v>
      </c>
      <c r="BM10" s="22"/>
      <c r="BN10" s="22" t="s">
        <v>164</v>
      </c>
      <c r="BO10" s="22"/>
      <c r="BP10" s="22"/>
      <c r="BQ10" s="22"/>
      <c r="BR10" s="22" t="s">
        <v>164</v>
      </c>
      <c r="BS10" s="22"/>
      <c r="BT10" s="22" t="s">
        <v>164</v>
      </c>
      <c r="BU10" s="22"/>
      <c r="BV10" s="22"/>
      <c r="BW10" s="22"/>
      <c r="BX10" s="22" t="s">
        <v>164</v>
      </c>
      <c r="BY10" s="22"/>
      <c r="BZ10" s="22" t="s">
        <v>164</v>
      </c>
      <c r="CA10" s="22"/>
      <c r="CB10" s="22" t="s">
        <v>164</v>
      </c>
      <c r="CC10" s="22"/>
      <c r="CD10" s="22" t="s">
        <v>164</v>
      </c>
      <c r="CE10" s="25" t="s">
        <v>164</v>
      </c>
      <c r="CF10" s="25" t="s">
        <v>164</v>
      </c>
      <c r="CG10" s="25" t="s">
        <v>164</v>
      </c>
      <c r="CH10" s="25" t="s">
        <v>164</v>
      </c>
      <c r="CI10" s="25" t="s">
        <v>164</v>
      </c>
      <c r="CJ10" s="25" t="s">
        <v>164</v>
      </c>
      <c r="CK10" s="25" t="s">
        <v>164</v>
      </c>
      <c r="CL10" s="25" t="s">
        <v>164</v>
      </c>
      <c r="CM10" s="25" t="s">
        <v>164</v>
      </c>
      <c r="CN10" s="25" t="s">
        <v>164</v>
      </c>
      <c r="CO10" s="25" t="s">
        <v>164</v>
      </c>
      <c r="CP10" s="25" t="s">
        <v>164</v>
      </c>
      <c r="CQ10" s="25" t="s">
        <v>164</v>
      </c>
      <c r="CR10" s="25" t="s">
        <v>164</v>
      </c>
      <c r="CS10" s="25" t="s">
        <v>164</v>
      </c>
      <c r="CT10" s="25" t="s">
        <v>164</v>
      </c>
      <c r="CU10" s="25" t="s">
        <v>164</v>
      </c>
      <c r="CV10" s="25" t="s">
        <v>164</v>
      </c>
      <c r="CW10" s="37" t="s">
        <v>166</v>
      </c>
      <c r="CX10" s="38">
        <v>2.06</v>
      </c>
      <c r="CY10" s="38">
        <v>-1.75</v>
      </c>
      <c r="CZ10" s="33"/>
      <c r="DA10" s="33" t="s">
        <v>164</v>
      </c>
      <c r="DB10" s="33" t="s">
        <v>164</v>
      </c>
      <c r="DC10" s="33" t="s">
        <v>164</v>
      </c>
      <c r="DD10" s="33" t="s">
        <v>164</v>
      </c>
      <c r="DE10" s="33" t="s">
        <v>164</v>
      </c>
      <c r="DF10" s="33" t="s">
        <v>164</v>
      </c>
      <c r="DG10" s="33" t="s">
        <v>164</v>
      </c>
      <c r="DH10" s="33" t="s">
        <v>164</v>
      </c>
      <c r="DI10" s="33" t="s">
        <v>164</v>
      </c>
      <c r="DJ10" s="25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40"/>
      <c r="FB10" s="40"/>
      <c r="FC10" s="40"/>
      <c r="FD10" s="40"/>
      <c r="FE10" s="40"/>
      <c r="FF10" s="40"/>
      <c r="FG10" s="40"/>
      <c r="FH10" s="40"/>
      <c r="FI10" s="40"/>
      <c r="FJ10" s="40"/>
      <c r="FK10" s="40"/>
      <c r="FL10" s="40"/>
      <c r="FM10" s="40"/>
      <c r="FN10" s="40"/>
      <c r="FO10" s="40"/>
      <c r="FP10" s="40"/>
      <c r="FQ10" s="40"/>
      <c r="FR10" s="40"/>
      <c r="FS10" s="40"/>
      <c r="FT10" s="40"/>
      <c r="FU10" s="40"/>
      <c r="FV10" s="40"/>
      <c r="FW10" s="40"/>
      <c r="FX10" s="40"/>
      <c r="FY10" s="40"/>
      <c r="FZ10" s="40"/>
      <c r="GA10" s="40"/>
    </row>
    <row r="11" ht="15.75" customHeight="1">
      <c r="A11" s="20" t="s">
        <v>174</v>
      </c>
      <c r="B11" s="20"/>
      <c r="C11" s="21"/>
      <c r="D11" s="21"/>
      <c r="E11" s="21"/>
      <c r="F11" s="21"/>
      <c r="G11" s="21"/>
      <c r="H11" s="21"/>
      <c r="I11" s="21"/>
      <c r="J11" s="22"/>
      <c r="K11" s="23"/>
      <c r="L11" s="23"/>
      <c r="M11" s="23"/>
      <c r="N11" s="23"/>
      <c r="O11" s="21" t="s">
        <v>164</v>
      </c>
      <c r="P11" s="35"/>
      <c r="Q11" s="24" t="str">
        <f t="shared" si="1"/>
        <v>-grained, ,  marble</v>
      </c>
      <c r="R11" s="22" t="s">
        <v>164</v>
      </c>
      <c r="S11" s="22" t="s">
        <v>164</v>
      </c>
      <c r="T11" s="22" t="s">
        <v>164</v>
      </c>
      <c r="U11" s="22" t="s">
        <v>164</v>
      </c>
      <c r="V11" s="22" t="s">
        <v>164</v>
      </c>
      <c r="W11" s="22"/>
      <c r="X11" s="22" t="s">
        <v>164</v>
      </c>
      <c r="Y11" s="22" t="s">
        <v>164</v>
      </c>
      <c r="Z11" s="22" t="s">
        <v>164</v>
      </c>
      <c r="AA11" s="25"/>
      <c r="AB11" s="25"/>
      <c r="AC11" s="25" t="s">
        <v>164</v>
      </c>
      <c r="AD11" s="25" t="s">
        <v>164</v>
      </c>
      <c r="AE11" s="26" t="s">
        <v>165</v>
      </c>
      <c r="AF11" s="25" t="s">
        <v>164</v>
      </c>
      <c r="AG11" s="25" t="s">
        <v>164</v>
      </c>
      <c r="AH11" s="25" t="s">
        <v>164</v>
      </c>
      <c r="AI11" s="25" t="s">
        <v>164</v>
      </c>
      <c r="AJ11" s="25" t="s">
        <v>164</v>
      </c>
      <c r="AK11" s="25" t="s">
        <v>164</v>
      </c>
      <c r="AL11" s="25" t="s">
        <v>164</v>
      </c>
      <c r="AM11" s="21"/>
      <c r="AN11" s="22"/>
      <c r="AO11" s="43">
        <f t="shared" si="2"/>
        <v>0</v>
      </c>
      <c r="AP11" s="22" t="s">
        <v>164</v>
      </c>
      <c r="AQ11" s="22" t="s">
        <v>164</v>
      </c>
      <c r="AR11" s="22" t="s">
        <v>164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 t="s">
        <v>164</v>
      </c>
      <c r="BF11" s="22" t="s">
        <v>164</v>
      </c>
      <c r="BG11" s="22" t="s">
        <v>164</v>
      </c>
      <c r="BH11" s="22" t="s">
        <v>164</v>
      </c>
      <c r="BI11" s="22"/>
      <c r="BJ11" s="22" t="s">
        <v>164</v>
      </c>
      <c r="BK11" s="22"/>
      <c r="BL11" s="22" t="s">
        <v>164</v>
      </c>
      <c r="BM11" s="22"/>
      <c r="BN11" s="22" t="s">
        <v>164</v>
      </c>
      <c r="BO11" s="22"/>
      <c r="BP11" s="22"/>
      <c r="BQ11" s="22"/>
      <c r="BR11" s="22" t="s">
        <v>164</v>
      </c>
      <c r="BS11" s="22"/>
      <c r="BT11" s="22" t="s">
        <v>164</v>
      </c>
      <c r="BU11" s="22"/>
      <c r="BV11" s="22"/>
      <c r="BW11" s="22"/>
      <c r="BX11" s="22" t="s">
        <v>164</v>
      </c>
      <c r="BY11" s="22"/>
      <c r="BZ11" s="22" t="s">
        <v>164</v>
      </c>
      <c r="CA11" s="22"/>
      <c r="CB11" s="22" t="s">
        <v>164</v>
      </c>
      <c r="CC11" s="22"/>
      <c r="CD11" s="22" t="s">
        <v>164</v>
      </c>
      <c r="CE11" s="25" t="s">
        <v>164</v>
      </c>
      <c r="CF11" s="25" t="s">
        <v>164</v>
      </c>
      <c r="CG11" s="25" t="s">
        <v>164</v>
      </c>
      <c r="CH11" s="25" t="s">
        <v>164</v>
      </c>
      <c r="CI11" s="25" t="s">
        <v>164</v>
      </c>
      <c r="CJ11" s="25" t="s">
        <v>164</v>
      </c>
      <c r="CK11" s="25" t="s">
        <v>164</v>
      </c>
      <c r="CL11" s="25" t="s">
        <v>164</v>
      </c>
      <c r="CM11" s="25" t="s">
        <v>164</v>
      </c>
      <c r="CN11" s="25" t="s">
        <v>164</v>
      </c>
      <c r="CO11" s="25" t="s">
        <v>164</v>
      </c>
      <c r="CP11" s="25" t="s">
        <v>164</v>
      </c>
      <c r="CQ11" s="25" t="s">
        <v>164</v>
      </c>
      <c r="CR11" s="25" t="s">
        <v>164</v>
      </c>
      <c r="CS11" s="25" t="s">
        <v>164</v>
      </c>
      <c r="CT11" s="25" t="s">
        <v>164</v>
      </c>
      <c r="CU11" s="25" t="s">
        <v>164</v>
      </c>
      <c r="CV11" s="25" t="s">
        <v>164</v>
      </c>
      <c r="CW11" s="37" t="s">
        <v>166</v>
      </c>
      <c r="CX11" s="38">
        <v>1.89</v>
      </c>
      <c r="CY11" s="38">
        <v>-2.06</v>
      </c>
      <c r="CZ11" s="33"/>
      <c r="DA11" s="33" t="s">
        <v>164</v>
      </c>
      <c r="DB11" s="33" t="s">
        <v>164</v>
      </c>
      <c r="DC11" s="33" t="s">
        <v>164</v>
      </c>
      <c r="DD11" s="33" t="s">
        <v>164</v>
      </c>
      <c r="DE11" s="33" t="s">
        <v>164</v>
      </c>
      <c r="DF11" s="33" t="s">
        <v>164</v>
      </c>
      <c r="DG11" s="33" t="s">
        <v>164</v>
      </c>
      <c r="DH11" s="33" t="s">
        <v>164</v>
      </c>
      <c r="DI11" s="33" t="s">
        <v>164</v>
      </c>
      <c r="DJ11" s="25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</row>
    <row r="12" ht="15.75" customHeight="1">
      <c r="A12" s="20" t="s">
        <v>175</v>
      </c>
      <c r="B12" s="20"/>
      <c r="C12" s="21"/>
      <c r="D12" s="21"/>
      <c r="E12" s="21"/>
      <c r="F12" s="21"/>
      <c r="G12" s="21"/>
      <c r="H12" s="21"/>
      <c r="I12" s="21"/>
      <c r="J12" s="22"/>
      <c r="K12" s="23"/>
      <c r="L12" s="23"/>
      <c r="M12" s="23"/>
      <c r="N12" s="23"/>
      <c r="O12" s="21" t="s">
        <v>164</v>
      </c>
      <c r="P12" s="35"/>
      <c r="Q12" s="24" t="str">
        <f t="shared" si="1"/>
        <v>-grained, ,  marble</v>
      </c>
      <c r="R12" s="22" t="s">
        <v>164</v>
      </c>
      <c r="S12" s="22" t="s">
        <v>164</v>
      </c>
      <c r="T12" s="22" t="s">
        <v>164</v>
      </c>
      <c r="U12" s="22" t="s">
        <v>164</v>
      </c>
      <c r="V12" s="22" t="s">
        <v>164</v>
      </c>
      <c r="W12" s="22"/>
      <c r="X12" s="22" t="s">
        <v>164</v>
      </c>
      <c r="Y12" s="22" t="s">
        <v>164</v>
      </c>
      <c r="Z12" s="22" t="s">
        <v>164</v>
      </c>
      <c r="AA12" s="25"/>
      <c r="AB12" s="25"/>
      <c r="AC12" s="25" t="s">
        <v>164</v>
      </c>
      <c r="AD12" s="25" t="s">
        <v>164</v>
      </c>
      <c r="AE12" s="26" t="s">
        <v>165</v>
      </c>
      <c r="AF12" s="25" t="s">
        <v>164</v>
      </c>
      <c r="AG12" s="25" t="s">
        <v>164</v>
      </c>
      <c r="AH12" s="25" t="s">
        <v>164</v>
      </c>
      <c r="AI12" s="25" t="s">
        <v>164</v>
      </c>
      <c r="AJ12" s="25" t="s">
        <v>164</v>
      </c>
      <c r="AK12" s="25" t="s">
        <v>164</v>
      </c>
      <c r="AL12" s="25" t="s">
        <v>164</v>
      </c>
      <c r="AM12" s="21"/>
      <c r="AN12" s="22"/>
      <c r="AO12" s="43">
        <f t="shared" si="2"/>
        <v>0</v>
      </c>
      <c r="AP12" s="22" t="s">
        <v>164</v>
      </c>
      <c r="AQ12" s="22" t="s">
        <v>164</v>
      </c>
      <c r="AR12" s="22" t="s">
        <v>164</v>
      </c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 t="s">
        <v>164</v>
      </c>
      <c r="BF12" s="22" t="s">
        <v>164</v>
      </c>
      <c r="BG12" s="22" t="s">
        <v>164</v>
      </c>
      <c r="BH12" s="22" t="s">
        <v>164</v>
      </c>
      <c r="BI12" s="22"/>
      <c r="BJ12" s="22" t="s">
        <v>164</v>
      </c>
      <c r="BK12" s="22"/>
      <c r="BL12" s="22" t="s">
        <v>164</v>
      </c>
      <c r="BM12" s="22"/>
      <c r="BN12" s="22" t="s">
        <v>164</v>
      </c>
      <c r="BO12" s="22"/>
      <c r="BP12" s="22"/>
      <c r="BQ12" s="22"/>
      <c r="BR12" s="22" t="s">
        <v>164</v>
      </c>
      <c r="BS12" s="22"/>
      <c r="BT12" s="22" t="s">
        <v>164</v>
      </c>
      <c r="BU12" s="22"/>
      <c r="BV12" s="22"/>
      <c r="BW12" s="22"/>
      <c r="BX12" s="22" t="s">
        <v>164</v>
      </c>
      <c r="BY12" s="22"/>
      <c r="BZ12" s="22" t="s">
        <v>164</v>
      </c>
      <c r="CA12" s="22"/>
      <c r="CB12" s="22" t="s">
        <v>164</v>
      </c>
      <c r="CC12" s="22"/>
      <c r="CD12" s="22" t="s">
        <v>164</v>
      </c>
      <c r="CE12" s="25" t="s">
        <v>164</v>
      </c>
      <c r="CF12" s="25" t="s">
        <v>164</v>
      </c>
      <c r="CG12" s="25" t="s">
        <v>164</v>
      </c>
      <c r="CH12" s="25" t="s">
        <v>164</v>
      </c>
      <c r="CI12" s="25" t="s">
        <v>164</v>
      </c>
      <c r="CJ12" s="25" t="s">
        <v>164</v>
      </c>
      <c r="CK12" s="25" t="s">
        <v>164</v>
      </c>
      <c r="CL12" s="25" t="s">
        <v>164</v>
      </c>
      <c r="CM12" s="25" t="s">
        <v>164</v>
      </c>
      <c r="CN12" s="25" t="s">
        <v>164</v>
      </c>
      <c r="CO12" s="25" t="s">
        <v>164</v>
      </c>
      <c r="CP12" s="25" t="s">
        <v>164</v>
      </c>
      <c r="CQ12" s="25" t="s">
        <v>164</v>
      </c>
      <c r="CR12" s="25" t="s">
        <v>164</v>
      </c>
      <c r="CS12" s="25" t="s">
        <v>164</v>
      </c>
      <c r="CT12" s="25" t="s">
        <v>164</v>
      </c>
      <c r="CU12" s="25" t="s">
        <v>164</v>
      </c>
      <c r="CV12" s="25" t="s">
        <v>164</v>
      </c>
      <c r="CW12" s="37" t="s">
        <v>166</v>
      </c>
      <c r="CX12" s="38">
        <v>2.26</v>
      </c>
      <c r="CY12" s="38">
        <v>-2.01</v>
      </c>
      <c r="CZ12" s="33"/>
      <c r="DA12" s="33" t="s">
        <v>164</v>
      </c>
      <c r="DB12" s="33" t="s">
        <v>164</v>
      </c>
      <c r="DC12" s="33" t="s">
        <v>164</v>
      </c>
      <c r="DD12" s="33" t="s">
        <v>164</v>
      </c>
      <c r="DE12" s="33" t="s">
        <v>164</v>
      </c>
      <c r="DF12" s="33" t="s">
        <v>164</v>
      </c>
      <c r="DG12" s="33" t="s">
        <v>164</v>
      </c>
      <c r="DH12" s="33" t="s">
        <v>164</v>
      </c>
      <c r="DI12" s="33" t="s">
        <v>164</v>
      </c>
      <c r="DJ12" s="25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  <c r="FN12" s="40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</row>
    <row r="13" ht="15.75" customHeight="1">
      <c r="A13" s="20" t="s">
        <v>176</v>
      </c>
      <c r="B13" s="20"/>
      <c r="C13" s="21"/>
      <c r="D13" s="21"/>
      <c r="E13" s="21"/>
      <c r="F13" s="21"/>
      <c r="G13" s="21"/>
      <c r="H13" s="21"/>
      <c r="I13" s="21"/>
      <c r="J13" s="22"/>
      <c r="K13" s="23"/>
      <c r="L13" s="23"/>
      <c r="M13" s="23"/>
      <c r="N13" s="23"/>
      <c r="O13" s="21" t="s">
        <v>164</v>
      </c>
      <c r="P13" s="35"/>
      <c r="Q13" s="24" t="str">
        <f t="shared" si="1"/>
        <v>-grained, ,  marble</v>
      </c>
      <c r="R13" s="22" t="s">
        <v>164</v>
      </c>
      <c r="S13" s="22" t="s">
        <v>164</v>
      </c>
      <c r="T13" s="22" t="s">
        <v>164</v>
      </c>
      <c r="U13" s="22" t="s">
        <v>164</v>
      </c>
      <c r="V13" s="22" t="s">
        <v>164</v>
      </c>
      <c r="W13" s="22"/>
      <c r="X13" s="22" t="s">
        <v>164</v>
      </c>
      <c r="Y13" s="22" t="s">
        <v>164</v>
      </c>
      <c r="Z13" s="22" t="s">
        <v>164</v>
      </c>
      <c r="AA13" s="25"/>
      <c r="AB13" s="25"/>
      <c r="AC13" s="25" t="s">
        <v>164</v>
      </c>
      <c r="AD13" s="25" t="s">
        <v>164</v>
      </c>
      <c r="AE13" s="26" t="s">
        <v>165</v>
      </c>
      <c r="AF13" s="25" t="s">
        <v>164</v>
      </c>
      <c r="AG13" s="25" t="s">
        <v>164</v>
      </c>
      <c r="AH13" s="25" t="s">
        <v>164</v>
      </c>
      <c r="AI13" s="25" t="s">
        <v>164</v>
      </c>
      <c r="AJ13" s="25" t="s">
        <v>164</v>
      </c>
      <c r="AK13" s="25" t="s">
        <v>164</v>
      </c>
      <c r="AL13" s="25" t="s">
        <v>164</v>
      </c>
      <c r="AM13" s="21"/>
      <c r="AN13" s="22"/>
      <c r="AO13" s="43">
        <f t="shared" si="2"/>
        <v>0</v>
      </c>
      <c r="AP13" s="22" t="s">
        <v>164</v>
      </c>
      <c r="AQ13" s="22" t="s">
        <v>164</v>
      </c>
      <c r="AR13" s="22" t="s">
        <v>164</v>
      </c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 t="s">
        <v>164</v>
      </c>
      <c r="BF13" s="22" t="s">
        <v>164</v>
      </c>
      <c r="BG13" s="22" t="s">
        <v>164</v>
      </c>
      <c r="BH13" s="22" t="s">
        <v>164</v>
      </c>
      <c r="BI13" s="22"/>
      <c r="BJ13" s="22" t="s">
        <v>164</v>
      </c>
      <c r="BK13" s="22"/>
      <c r="BL13" s="22" t="s">
        <v>164</v>
      </c>
      <c r="BM13" s="22"/>
      <c r="BN13" s="22" t="s">
        <v>164</v>
      </c>
      <c r="BO13" s="22"/>
      <c r="BP13" s="22"/>
      <c r="BQ13" s="22"/>
      <c r="BR13" s="22" t="s">
        <v>164</v>
      </c>
      <c r="BS13" s="22"/>
      <c r="BT13" s="22" t="s">
        <v>164</v>
      </c>
      <c r="BU13" s="22"/>
      <c r="BV13" s="22"/>
      <c r="BW13" s="22"/>
      <c r="BX13" s="22" t="s">
        <v>164</v>
      </c>
      <c r="BY13" s="22"/>
      <c r="BZ13" s="22" t="s">
        <v>164</v>
      </c>
      <c r="CA13" s="22"/>
      <c r="CB13" s="22" t="s">
        <v>164</v>
      </c>
      <c r="CC13" s="22"/>
      <c r="CD13" s="22" t="s">
        <v>164</v>
      </c>
      <c r="CE13" s="25" t="s">
        <v>164</v>
      </c>
      <c r="CF13" s="25" t="s">
        <v>164</v>
      </c>
      <c r="CG13" s="25" t="s">
        <v>164</v>
      </c>
      <c r="CH13" s="25" t="s">
        <v>164</v>
      </c>
      <c r="CI13" s="25" t="s">
        <v>164</v>
      </c>
      <c r="CJ13" s="25" t="s">
        <v>164</v>
      </c>
      <c r="CK13" s="25" t="s">
        <v>164</v>
      </c>
      <c r="CL13" s="25" t="s">
        <v>164</v>
      </c>
      <c r="CM13" s="25" t="s">
        <v>164</v>
      </c>
      <c r="CN13" s="25" t="s">
        <v>164</v>
      </c>
      <c r="CO13" s="25" t="s">
        <v>164</v>
      </c>
      <c r="CP13" s="25" t="s">
        <v>164</v>
      </c>
      <c r="CQ13" s="25" t="s">
        <v>164</v>
      </c>
      <c r="CR13" s="25" t="s">
        <v>164</v>
      </c>
      <c r="CS13" s="25" t="s">
        <v>164</v>
      </c>
      <c r="CT13" s="25" t="s">
        <v>164</v>
      </c>
      <c r="CU13" s="25" t="s">
        <v>164</v>
      </c>
      <c r="CV13" s="25" t="s">
        <v>164</v>
      </c>
      <c r="CW13" s="37" t="s">
        <v>166</v>
      </c>
      <c r="CX13" s="38">
        <v>2.26</v>
      </c>
      <c r="CY13" s="38">
        <v>-2.18</v>
      </c>
      <c r="CZ13" s="33"/>
      <c r="DA13" s="33" t="s">
        <v>164</v>
      </c>
      <c r="DB13" s="33" t="s">
        <v>164</v>
      </c>
      <c r="DC13" s="33" t="s">
        <v>164</v>
      </c>
      <c r="DD13" s="33" t="s">
        <v>164</v>
      </c>
      <c r="DE13" s="33" t="s">
        <v>164</v>
      </c>
      <c r="DF13" s="33" t="s">
        <v>164</v>
      </c>
      <c r="DG13" s="33" t="s">
        <v>164</v>
      </c>
      <c r="DH13" s="33" t="s">
        <v>164</v>
      </c>
      <c r="DI13" s="33" t="s">
        <v>164</v>
      </c>
      <c r="DJ13" s="25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</row>
    <row r="14" ht="15.75" customHeight="1">
      <c r="A14" s="20" t="s">
        <v>177</v>
      </c>
      <c r="B14" s="20"/>
      <c r="C14" s="21"/>
      <c r="D14" s="21"/>
      <c r="E14" s="21"/>
      <c r="F14" s="21"/>
      <c r="G14" s="21"/>
      <c r="H14" s="21"/>
      <c r="I14" s="21"/>
      <c r="J14" s="22"/>
      <c r="K14" s="23"/>
      <c r="L14" s="23"/>
      <c r="M14" s="23"/>
      <c r="N14" s="23"/>
      <c r="O14" s="21" t="s">
        <v>164</v>
      </c>
      <c r="P14" s="24"/>
      <c r="Q14" s="24" t="str">
        <f t="shared" si="1"/>
        <v>-grained, ,  marble</v>
      </c>
      <c r="R14" s="22" t="s">
        <v>164</v>
      </c>
      <c r="S14" s="22" t="s">
        <v>164</v>
      </c>
      <c r="T14" s="22" t="s">
        <v>164</v>
      </c>
      <c r="U14" s="22" t="s">
        <v>164</v>
      </c>
      <c r="V14" s="20" t="s">
        <v>166</v>
      </c>
      <c r="W14" s="22"/>
      <c r="X14" s="22" t="s">
        <v>164</v>
      </c>
      <c r="Y14" s="22" t="s">
        <v>164</v>
      </c>
      <c r="Z14" s="22" t="s">
        <v>164</v>
      </c>
      <c r="AA14" s="25"/>
      <c r="AB14" s="25"/>
      <c r="AC14" s="25" t="s">
        <v>164</v>
      </c>
      <c r="AD14" s="25" t="s">
        <v>164</v>
      </c>
      <c r="AE14" s="26" t="s">
        <v>165</v>
      </c>
      <c r="AF14" s="25" t="s">
        <v>164</v>
      </c>
      <c r="AG14" s="25" t="s">
        <v>164</v>
      </c>
      <c r="AH14" s="25" t="s">
        <v>164</v>
      </c>
      <c r="AI14" s="25" t="s">
        <v>164</v>
      </c>
      <c r="AJ14" s="25" t="s">
        <v>164</v>
      </c>
      <c r="AK14" s="25" t="s">
        <v>164</v>
      </c>
      <c r="AL14" s="25" t="s">
        <v>164</v>
      </c>
      <c r="AM14" s="22"/>
      <c r="AN14" s="22"/>
      <c r="AO14" s="43">
        <f t="shared" si="2"/>
        <v>0</v>
      </c>
      <c r="AP14" s="22" t="s">
        <v>164</v>
      </c>
      <c r="AQ14" s="22" t="s">
        <v>164</v>
      </c>
      <c r="AR14" s="22" t="s">
        <v>164</v>
      </c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 t="s">
        <v>164</v>
      </c>
      <c r="BF14" s="22" t="s">
        <v>164</v>
      </c>
      <c r="BG14" s="22" t="s">
        <v>164</v>
      </c>
      <c r="BH14" s="22" t="s">
        <v>164</v>
      </c>
      <c r="BI14" s="22"/>
      <c r="BJ14" s="22" t="s">
        <v>164</v>
      </c>
      <c r="BK14" s="22"/>
      <c r="BL14" s="22" t="s">
        <v>164</v>
      </c>
      <c r="BM14" s="22"/>
      <c r="BN14" s="22" t="s">
        <v>164</v>
      </c>
      <c r="BO14" s="22"/>
      <c r="BP14" s="22"/>
      <c r="BQ14" s="22"/>
      <c r="BR14" s="22" t="s">
        <v>164</v>
      </c>
      <c r="BS14" s="22"/>
      <c r="BT14" s="22" t="s">
        <v>164</v>
      </c>
      <c r="BU14" s="22"/>
      <c r="BV14" s="22"/>
      <c r="BW14" s="22"/>
      <c r="BX14" s="22" t="s">
        <v>164</v>
      </c>
      <c r="BY14" s="22"/>
      <c r="BZ14" s="22" t="s">
        <v>164</v>
      </c>
      <c r="CA14" s="22"/>
      <c r="CB14" s="22" t="s">
        <v>164</v>
      </c>
      <c r="CC14" s="22"/>
      <c r="CD14" s="22" t="s">
        <v>164</v>
      </c>
      <c r="CE14" s="25" t="s">
        <v>164</v>
      </c>
      <c r="CF14" s="25" t="s">
        <v>164</v>
      </c>
      <c r="CG14" s="25" t="s">
        <v>164</v>
      </c>
      <c r="CH14" s="25" t="s">
        <v>164</v>
      </c>
      <c r="CI14" s="25" t="s">
        <v>164</v>
      </c>
      <c r="CJ14" s="25" t="s">
        <v>164</v>
      </c>
      <c r="CK14" s="25" t="s">
        <v>164</v>
      </c>
      <c r="CL14" s="25" t="s">
        <v>164</v>
      </c>
      <c r="CM14" s="25" t="s">
        <v>164</v>
      </c>
      <c r="CN14" s="25" t="s">
        <v>164</v>
      </c>
      <c r="CO14" s="25" t="s">
        <v>164</v>
      </c>
      <c r="CP14" s="25" t="s">
        <v>164</v>
      </c>
      <c r="CQ14" s="25" t="s">
        <v>164</v>
      </c>
      <c r="CR14" s="25" t="s">
        <v>164</v>
      </c>
      <c r="CS14" s="25" t="s">
        <v>164</v>
      </c>
      <c r="CT14" s="25" t="s">
        <v>164</v>
      </c>
      <c r="CU14" s="25" t="s">
        <v>164</v>
      </c>
      <c r="CV14" s="25" t="s">
        <v>164</v>
      </c>
      <c r="CW14" s="37" t="s">
        <v>166</v>
      </c>
      <c r="CX14" s="38">
        <v>2.54</v>
      </c>
      <c r="CY14" s="38">
        <v>-2.87</v>
      </c>
      <c r="CZ14" s="33"/>
      <c r="DA14" s="33" t="s">
        <v>164</v>
      </c>
      <c r="DB14" s="33" t="s">
        <v>164</v>
      </c>
      <c r="DC14" s="33" t="s">
        <v>164</v>
      </c>
      <c r="DD14" s="33" t="s">
        <v>164</v>
      </c>
      <c r="DE14" s="33" t="s">
        <v>164</v>
      </c>
      <c r="DF14" s="33" t="s">
        <v>164</v>
      </c>
      <c r="DG14" s="33" t="s">
        <v>164</v>
      </c>
      <c r="DH14" s="33" t="s">
        <v>164</v>
      </c>
      <c r="DI14" s="33" t="s">
        <v>164</v>
      </c>
      <c r="DJ14" s="25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</row>
    <row r="15" ht="15.75" customHeight="1">
      <c r="A15" s="20" t="s">
        <v>178</v>
      </c>
      <c r="B15" s="20"/>
      <c r="C15" s="21"/>
      <c r="D15" s="21"/>
      <c r="E15" s="21"/>
      <c r="F15" s="21"/>
      <c r="G15" s="21"/>
      <c r="H15" s="21"/>
      <c r="I15" s="21"/>
      <c r="J15" s="22"/>
      <c r="K15" s="23"/>
      <c r="L15" s="23"/>
      <c r="M15" s="23"/>
      <c r="N15" s="23"/>
      <c r="O15" s="21" t="s">
        <v>164</v>
      </c>
      <c r="P15" s="35"/>
      <c r="Q15" s="24" t="str">
        <f t="shared" si="1"/>
        <v>-grained, ,  marble</v>
      </c>
      <c r="R15" s="22" t="s">
        <v>164</v>
      </c>
      <c r="S15" s="22" t="s">
        <v>164</v>
      </c>
      <c r="T15" s="22" t="s">
        <v>164</v>
      </c>
      <c r="U15" s="22" t="s">
        <v>164</v>
      </c>
      <c r="V15" s="22" t="s">
        <v>164</v>
      </c>
      <c r="W15" s="22"/>
      <c r="X15" s="22" t="s">
        <v>164</v>
      </c>
      <c r="Y15" s="22" t="s">
        <v>164</v>
      </c>
      <c r="Z15" s="22" t="s">
        <v>164</v>
      </c>
      <c r="AA15" s="25"/>
      <c r="AB15" s="25"/>
      <c r="AC15" s="25" t="s">
        <v>164</v>
      </c>
      <c r="AD15" s="25" t="s">
        <v>164</v>
      </c>
      <c r="AE15" s="26" t="s">
        <v>165</v>
      </c>
      <c r="AF15" s="25" t="s">
        <v>164</v>
      </c>
      <c r="AG15" s="25" t="s">
        <v>164</v>
      </c>
      <c r="AH15" s="25" t="s">
        <v>164</v>
      </c>
      <c r="AI15" s="25" t="s">
        <v>164</v>
      </c>
      <c r="AJ15" s="25" t="s">
        <v>164</v>
      </c>
      <c r="AK15" s="25" t="s">
        <v>164</v>
      </c>
      <c r="AL15" s="25" t="s">
        <v>164</v>
      </c>
      <c r="AM15" s="22"/>
      <c r="AN15" s="22"/>
      <c r="AO15" s="43">
        <f t="shared" si="2"/>
        <v>0</v>
      </c>
      <c r="AP15" s="22" t="s">
        <v>164</v>
      </c>
      <c r="AQ15" s="22" t="s">
        <v>164</v>
      </c>
      <c r="AR15" s="22" t="s">
        <v>164</v>
      </c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 t="s">
        <v>164</v>
      </c>
      <c r="BF15" s="22" t="s">
        <v>164</v>
      </c>
      <c r="BG15" s="22" t="s">
        <v>164</v>
      </c>
      <c r="BH15" s="22" t="s">
        <v>164</v>
      </c>
      <c r="BI15" s="22"/>
      <c r="BJ15" s="22" t="s">
        <v>164</v>
      </c>
      <c r="BK15" s="22"/>
      <c r="BL15" s="22" t="s">
        <v>164</v>
      </c>
      <c r="BM15" s="22"/>
      <c r="BN15" s="22" t="s">
        <v>164</v>
      </c>
      <c r="BO15" s="22"/>
      <c r="BP15" s="22"/>
      <c r="BQ15" s="22"/>
      <c r="BR15" s="22" t="s">
        <v>164</v>
      </c>
      <c r="BS15" s="22"/>
      <c r="BT15" s="22" t="s">
        <v>164</v>
      </c>
      <c r="BU15" s="22"/>
      <c r="BV15" s="22"/>
      <c r="BW15" s="22"/>
      <c r="BX15" s="22" t="s">
        <v>164</v>
      </c>
      <c r="BY15" s="22"/>
      <c r="BZ15" s="22" t="s">
        <v>164</v>
      </c>
      <c r="CA15" s="22"/>
      <c r="CB15" s="22" t="s">
        <v>164</v>
      </c>
      <c r="CC15" s="22"/>
      <c r="CD15" s="22" t="s">
        <v>164</v>
      </c>
      <c r="CE15" s="25" t="s">
        <v>164</v>
      </c>
      <c r="CF15" s="25" t="s">
        <v>164</v>
      </c>
      <c r="CG15" s="25" t="s">
        <v>164</v>
      </c>
      <c r="CH15" s="25" t="s">
        <v>164</v>
      </c>
      <c r="CI15" s="25" t="s">
        <v>164</v>
      </c>
      <c r="CJ15" s="25" t="s">
        <v>164</v>
      </c>
      <c r="CK15" s="25" t="s">
        <v>164</v>
      </c>
      <c r="CL15" s="25" t="s">
        <v>164</v>
      </c>
      <c r="CM15" s="25" t="s">
        <v>164</v>
      </c>
      <c r="CN15" s="25" t="s">
        <v>164</v>
      </c>
      <c r="CO15" s="25" t="s">
        <v>164</v>
      </c>
      <c r="CP15" s="25" t="s">
        <v>164</v>
      </c>
      <c r="CQ15" s="25" t="s">
        <v>164</v>
      </c>
      <c r="CR15" s="25" t="s">
        <v>164</v>
      </c>
      <c r="CS15" s="25" t="s">
        <v>164</v>
      </c>
      <c r="CT15" s="25" t="s">
        <v>164</v>
      </c>
      <c r="CU15" s="25" t="s">
        <v>164</v>
      </c>
      <c r="CV15" s="25" t="s">
        <v>164</v>
      </c>
      <c r="CW15" s="37" t="s">
        <v>166</v>
      </c>
      <c r="CX15" s="38">
        <v>2.71</v>
      </c>
      <c r="CY15" s="38">
        <v>-8.37</v>
      </c>
      <c r="CZ15" s="33"/>
      <c r="DA15" s="33" t="s">
        <v>164</v>
      </c>
      <c r="DB15" s="33" t="s">
        <v>164</v>
      </c>
      <c r="DC15" s="33" t="s">
        <v>164</v>
      </c>
      <c r="DD15" s="33" t="s">
        <v>164</v>
      </c>
      <c r="DE15" s="33" t="s">
        <v>164</v>
      </c>
      <c r="DF15" s="33" t="s">
        <v>164</v>
      </c>
      <c r="DG15" s="33" t="s">
        <v>164</v>
      </c>
      <c r="DH15" s="33" t="s">
        <v>164</v>
      </c>
      <c r="DI15" s="33" t="s">
        <v>164</v>
      </c>
      <c r="DJ15" s="25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  <c r="FN15" s="40"/>
      <c r="FO15" s="40"/>
      <c r="FP15" s="40"/>
      <c r="FQ15" s="40"/>
      <c r="FR15" s="40"/>
      <c r="FS15" s="40"/>
      <c r="FT15" s="40"/>
      <c r="FU15" s="40"/>
      <c r="FV15" s="40"/>
      <c r="FW15" s="40"/>
      <c r="FX15" s="40"/>
      <c r="FY15" s="40"/>
      <c r="FZ15" s="40"/>
      <c r="GA15" s="40"/>
    </row>
    <row r="16" ht="15.75" customHeight="1">
      <c r="A16" s="20" t="s">
        <v>179</v>
      </c>
      <c r="B16" s="20"/>
      <c r="C16" s="21"/>
      <c r="D16" s="21"/>
      <c r="E16" s="21"/>
      <c r="F16" s="21"/>
      <c r="G16" s="21"/>
      <c r="H16" s="21"/>
      <c r="I16" s="21"/>
      <c r="J16" s="22"/>
      <c r="K16" s="23"/>
      <c r="L16" s="23"/>
      <c r="M16" s="23"/>
      <c r="N16" s="23"/>
      <c r="O16" s="21"/>
      <c r="P16" s="35"/>
      <c r="Q16" s="24" t="str">
        <f t="shared" si="1"/>
        <v>fine-grained, banded, grey marble</v>
      </c>
      <c r="R16" s="20" t="s">
        <v>180</v>
      </c>
      <c r="S16" s="20" t="s">
        <v>181</v>
      </c>
      <c r="T16" s="20" t="s">
        <v>182</v>
      </c>
      <c r="U16" s="20" t="s">
        <v>181</v>
      </c>
      <c r="V16" s="22"/>
      <c r="W16" s="20" t="s">
        <v>166</v>
      </c>
      <c r="X16" s="20">
        <v>1.5</v>
      </c>
      <c r="Y16" s="20" t="s">
        <v>183</v>
      </c>
      <c r="Z16" s="20" t="s">
        <v>184</v>
      </c>
      <c r="AA16" s="44"/>
      <c r="AB16" s="44"/>
      <c r="AC16" s="44"/>
      <c r="AD16" s="44"/>
      <c r="AE16" s="45"/>
      <c r="AF16" s="44"/>
      <c r="AG16" s="44"/>
      <c r="AH16" s="44"/>
      <c r="AI16" s="44"/>
      <c r="AJ16" s="44"/>
      <c r="AK16" s="44"/>
      <c r="AL16" s="44"/>
      <c r="AM16" s="22"/>
      <c r="AN16" s="22"/>
      <c r="AO16" s="43">
        <f t="shared" si="2"/>
        <v>0</v>
      </c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6"/>
      <c r="CX16" s="47"/>
      <c r="CY16" s="47"/>
      <c r="DJ16" s="25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  <c r="FN16" s="40"/>
      <c r="FO16" s="40"/>
      <c r="FP16" s="40"/>
      <c r="FQ16" s="40"/>
      <c r="FR16" s="40"/>
      <c r="FS16" s="40"/>
      <c r="FT16" s="40"/>
      <c r="FU16" s="40"/>
      <c r="FV16" s="40"/>
      <c r="FW16" s="40"/>
      <c r="FX16" s="40"/>
      <c r="FY16" s="40"/>
      <c r="FZ16" s="40"/>
      <c r="GA16" s="40"/>
    </row>
    <row r="17" ht="15.75" customHeight="1">
      <c r="A17" s="20" t="s">
        <v>185</v>
      </c>
      <c r="B17" s="20" t="s">
        <v>186</v>
      </c>
      <c r="C17" s="21"/>
      <c r="D17" s="21"/>
      <c r="E17" s="21"/>
      <c r="F17" s="21"/>
      <c r="G17" s="21"/>
      <c r="H17" s="21"/>
      <c r="I17" s="21"/>
      <c r="J17" s="22"/>
      <c r="K17" s="48" t="s">
        <v>187</v>
      </c>
      <c r="L17" s="48"/>
      <c r="M17" s="23"/>
      <c r="N17" s="23"/>
      <c r="O17" s="21" t="s">
        <v>164</v>
      </c>
      <c r="P17" s="35"/>
      <c r="Q17" s="24" t="str">
        <f t="shared" si="1"/>
        <v>very fine-grained, banded, white marble</v>
      </c>
      <c r="R17" s="20" t="s">
        <v>188</v>
      </c>
      <c r="S17" s="20" t="s">
        <v>189</v>
      </c>
      <c r="T17" s="20" t="s">
        <v>182</v>
      </c>
      <c r="U17" s="20" t="s">
        <v>181</v>
      </c>
      <c r="V17" s="20" t="s">
        <v>190</v>
      </c>
      <c r="W17" s="20" t="s">
        <v>166</v>
      </c>
      <c r="X17" s="20">
        <v>0.5</v>
      </c>
      <c r="Y17" s="20" t="s">
        <v>191</v>
      </c>
      <c r="Z17" s="20" t="s">
        <v>184</v>
      </c>
      <c r="AA17" s="25"/>
      <c r="AB17" s="49" t="s">
        <v>166</v>
      </c>
      <c r="AC17" s="49">
        <v>1.1</v>
      </c>
      <c r="AD17" s="49" t="s">
        <v>191</v>
      </c>
      <c r="AE17" s="26" t="s">
        <v>192</v>
      </c>
      <c r="AF17" s="25" t="s">
        <v>164</v>
      </c>
      <c r="AG17" s="25" t="s">
        <v>164</v>
      </c>
      <c r="AH17" s="25" t="s">
        <v>164</v>
      </c>
      <c r="AI17" s="25" t="s">
        <v>164</v>
      </c>
      <c r="AJ17" s="25" t="s">
        <v>164</v>
      </c>
      <c r="AK17" s="49" t="s">
        <v>166</v>
      </c>
      <c r="AL17" s="49" t="s">
        <v>190</v>
      </c>
      <c r="AM17" s="22"/>
      <c r="AN17" s="22"/>
      <c r="AO17" s="43">
        <f t="shared" si="2"/>
        <v>0</v>
      </c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 t="s">
        <v>164</v>
      </c>
      <c r="BF17" s="22" t="s">
        <v>164</v>
      </c>
      <c r="BG17" s="22" t="s">
        <v>164</v>
      </c>
      <c r="BH17" s="22" t="s">
        <v>164</v>
      </c>
      <c r="BI17" s="22"/>
      <c r="BJ17" s="22" t="s">
        <v>164</v>
      </c>
      <c r="BK17" s="22"/>
      <c r="BL17" s="22" t="s">
        <v>164</v>
      </c>
      <c r="BM17" s="22"/>
      <c r="BN17" s="22" t="s">
        <v>164</v>
      </c>
      <c r="BO17" s="22"/>
      <c r="BP17" s="22"/>
      <c r="BQ17" s="22"/>
      <c r="BR17" s="22" t="s">
        <v>164</v>
      </c>
      <c r="BS17" s="22"/>
      <c r="BT17" s="22" t="s">
        <v>164</v>
      </c>
      <c r="BU17" s="22"/>
      <c r="BV17" s="22"/>
      <c r="BW17" s="22"/>
      <c r="BX17" s="22" t="s">
        <v>164</v>
      </c>
      <c r="BY17" s="22"/>
      <c r="BZ17" s="22" t="s">
        <v>164</v>
      </c>
      <c r="CA17" s="22"/>
      <c r="CB17" s="22" t="s">
        <v>164</v>
      </c>
      <c r="CC17" s="22"/>
      <c r="CD17" s="22" t="s">
        <v>164</v>
      </c>
      <c r="CE17" s="25" t="s">
        <v>164</v>
      </c>
      <c r="CF17" s="25" t="s">
        <v>164</v>
      </c>
      <c r="CG17" s="25" t="s">
        <v>164</v>
      </c>
      <c r="CH17" s="25" t="s">
        <v>164</v>
      </c>
      <c r="CI17" s="25" t="s">
        <v>164</v>
      </c>
      <c r="CJ17" s="25" t="s">
        <v>164</v>
      </c>
      <c r="CK17" s="25" t="s">
        <v>164</v>
      </c>
      <c r="CL17" s="25" t="s">
        <v>164</v>
      </c>
      <c r="CM17" s="25" t="s">
        <v>164</v>
      </c>
      <c r="CN17" s="25" t="s">
        <v>164</v>
      </c>
      <c r="CO17" s="25" t="s">
        <v>164</v>
      </c>
      <c r="CP17" s="25" t="s">
        <v>164</v>
      </c>
      <c r="CQ17" s="25" t="s">
        <v>164</v>
      </c>
      <c r="CR17" s="25" t="s">
        <v>164</v>
      </c>
      <c r="CS17" s="25" t="s">
        <v>164</v>
      </c>
      <c r="CT17" s="25" t="s">
        <v>164</v>
      </c>
      <c r="CU17" s="25" t="s">
        <v>164</v>
      </c>
      <c r="CV17" s="25" t="s">
        <v>164</v>
      </c>
      <c r="CW17" s="37" t="s">
        <v>166</v>
      </c>
      <c r="CX17" s="38">
        <v>2.39</v>
      </c>
      <c r="CY17" s="38">
        <v>-2.69</v>
      </c>
      <c r="CZ17" s="50" t="s">
        <v>166</v>
      </c>
      <c r="DA17" s="33" t="s">
        <v>164</v>
      </c>
      <c r="DB17" s="33" t="s">
        <v>164</v>
      </c>
      <c r="DC17" s="33" t="s">
        <v>164</v>
      </c>
      <c r="DD17" s="33" t="s">
        <v>164</v>
      </c>
      <c r="DE17" s="33" t="s">
        <v>164</v>
      </c>
      <c r="DF17" s="33" t="s">
        <v>164</v>
      </c>
      <c r="DG17" s="33" t="s">
        <v>164</v>
      </c>
      <c r="DH17" s="33" t="s">
        <v>164</v>
      </c>
      <c r="DI17" s="33" t="s">
        <v>164</v>
      </c>
      <c r="DJ17" s="51" t="s">
        <v>166</v>
      </c>
      <c r="DK17" s="52">
        <v>0.55</v>
      </c>
      <c r="DL17" s="52">
        <v>4.25</v>
      </c>
      <c r="DM17" s="52">
        <v>111.36</v>
      </c>
      <c r="DN17" s="52">
        <v>3169.76</v>
      </c>
      <c r="DO17" s="52">
        <v>0.094621662</v>
      </c>
      <c r="DP17" s="52">
        <v>71.02</v>
      </c>
      <c r="DQ17" s="52">
        <v>2.61</v>
      </c>
      <c r="DR17" s="52">
        <v>4.02</v>
      </c>
      <c r="DS17" s="52">
        <v>2.21</v>
      </c>
      <c r="DT17" s="52">
        <v>3.49</v>
      </c>
      <c r="DU17" s="52">
        <v>100.34</v>
      </c>
      <c r="DV17" s="52">
        <v>0.21</v>
      </c>
      <c r="DW17" s="52">
        <v>2.33</v>
      </c>
      <c r="DX17" s="52">
        <v>0.92</v>
      </c>
      <c r="DY17" s="52">
        <v>11.94</v>
      </c>
      <c r="DZ17" s="52">
        <v>0.08</v>
      </c>
      <c r="EA17" s="52">
        <v>0.23</v>
      </c>
      <c r="EB17" s="52">
        <v>0.12</v>
      </c>
      <c r="EC17" s="52">
        <v>232.88</v>
      </c>
      <c r="ED17" s="52">
        <v>6.38</v>
      </c>
      <c r="EE17" s="52">
        <v>0.37</v>
      </c>
      <c r="EF17" s="52">
        <v>0.05</v>
      </c>
      <c r="EG17" s="52">
        <v>0.02</v>
      </c>
      <c r="EH17" s="52">
        <v>0.28</v>
      </c>
      <c r="EI17" s="52">
        <v>0.4</v>
      </c>
      <c r="EJ17" s="52">
        <v>0.02</v>
      </c>
      <c r="EK17" s="52">
        <v>2.74</v>
      </c>
      <c r="EL17" s="52">
        <v>2.94</v>
      </c>
      <c r="EM17" s="52">
        <v>0.59</v>
      </c>
      <c r="EN17" s="52">
        <v>1.13</v>
      </c>
      <c r="EO17" s="52">
        <v>0.16</v>
      </c>
      <c r="EP17" s="52">
        <v>0.04</v>
      </c>
      <c r="EQ17" s="52">
        <v>0.14</v>
      </c>
      <c r="ER17" s="52">
        <v>0.34</v>
      </c>
      <c r="ES17" s="52">
        <v>0.28</v>
      </c>
      <c r="ET17" s="52">
        <v>0.100880042</v>
      </c>
      <c r="EU17" s="52">
        <v>0.02</v>
      </c>
      <c r="EV17" s="52">
        <v>5.47</v>
      </c>
      <c r="EW17" s="52">
        <v>4.54</v>
      </c>
      <c r="EX17" s="52">
        <v>12.07</v>
      </c>
      <c r="EY17" s="52">
        <v>0.05</v>
      </c>
      <c r="EZ17" s="34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</row>
    <row r="18" ht="15.75" customHeight="1">
      <c r="A18" s="20" t="s">
        <v>193</v>
      </c>
      <c r="B18" s="20"/>
      <c r="C18" s="21"/>
      <c r="D18" s="21"/>
      <c r="E18" s="21"/>
      <c r="F18" s="21"/>
      <c r="G18" s="21"/>
      <c r="H18" s="21"/>
      <c r="I18" s="21"/>
      <c r="J18" s="22"/>
      <c r="K18" s="23"/>
      <c r="L18" s="23"/>
      <c r="M18" s="23"/>
      <c r="N18" s="23"/>
      <c r="O18" s="21"/>
      <c r="P18" s="35"/>
      <c r="Q18" s="24" t="str">
        <f t="shared" si="1"/>
        <v>very fine-grained, homogeneous, grey marble</v>
      </c>
      <c r="R18" s="20" t="s">
        <v>188</v>
      </c>
      <c r="S18" s="20" t="s">
        <v>181</v>
      </c>
      <c r="T18" s="20" t="s">
        <v>194</v>
      </c>
      <c r="U18" s="20" t="s">
        <v>195</v>
      </c>
      <c r="V18" s="22"/>
      <c r="W18" s="20" t="s">
        <v>166</v>
      </c>
      <c r="X18" s="20">
        <v>0.5</v>
      </c>
      <c r="Y18" s="20" t="s">
        <v>196</v>
      </c>
      <c r="Z18" s="20" t="s">
        <v>184</v>
      </c>
      <c r="AA18" s="25"/>
      <c r="AB18" s="25"/>
      <c r="AC18" s="25"/>
      <c r="AD18" s="25"/>
      <c r="AE18" s="53"/>
      <c r="AF18" s="25"/>
      <c r="AG18" s="25"/>
      <c r="AH18" s="25"/>
      <c r="AI18" s="25"/>
      <c r="AJ18" s="25"/>
      <c r="AK18" s="25"/>
      <c r="AL18" s="25"/>
      <c r="AM18" s="22"/>
      <c r="AN18" s="22"/>
      <c r="AO18" s="43">
        <f t="shared" si="2"/>
        <v>0</v>
      </c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46"/>
      <c r="CX18" s="54"/>
      <c r="CY18" s="54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44"/>
      <c r="FA18" s="55"/>
      <c r="FB18" s="55"/>
      <c r="FC18" s="55"/>
      <c r="FD18" s="55"/>
      <c r="FE18" s="55"/>
      <c r="FF18" s="55"/>
      <c r="FG18" s="55"/>
      <c r="FH18" s="55"/>
      <c r="FI18" s="55"/>
      <c r="FJ18" s="55"/>
      <c r="FK18" s="55"/>
      <c r="FL18" s="55"/>
      <c r="FM18" s="55"/>
      <c r="FN18" s="55"/>
      <c r="FO18" s="55"/>
      <c r="FP18" s="55"/>
      <c r="FQ18" s="55"/>
      <c r="FR18" s="55"/>
      <c r="FS18" s="55"/>
      <c r="FT18" s="55"/>
      <c r="FU18" s="55"/>
      <c r="FV18" s="55"/>
      <c r="FW18" s="55"/>
      <c r="FX18" s="55"/>
      <c r="FY18" s="55"/>
      <c r="FZ18" s="55"/>
      <c r="GA18" s="55"/>
    </row>
    <row r="19" ht="15.75" customHeight="1">
      <c r="A19" s="20" t="s">
        <v>197</v>
      </c>
      <c r="B19" s="20"/>
      <c r="C19" s="21"/>
      <c r="D19" s="21"/>
      <c r="E19" s="21"/>
      <c r="F19" s="21"/>
      <c r="G19" s="21"/>
      <c r="H19" s="21"/>
      <c r="I19" s="21"/>
      <c r="J19" s="22"/>
      <c r="K19" s="23"/>
      <c r="L19" s="23"/>
      <c r="M19" s="23"/>
      <c r="N19" s="23"/>
      <c r="O19" s="21" t="s">
        <v>164</v>
      </c>
      <c r="P19" s="35"/>
      <c r="Q19" s="24" t="str">
        <f t="shared" si="1"/>
        <v>fine-grained, banded, white marble</v>
      </c>
      <c r="R19" s="20" t="s">
        <v>180</v>
      </c>
      <c r="S19" s="20" t="s">
        <v>189</v>
      </c>
      <c r="T19" s="20" t="s">
        <v>182</v>
      </c>
      <c r="U19" s="20" t="s">
        <v>181</v>
      </c>
      <c r="V19" s="22" t="s">
        <v>164</v>
      </c>
      <c r="W19" s="20" t="s">
        <v>166</v>
      </c>
      <c r="X19" s="20">
        <v>1.5</v>
      </c>
      <c r="Y19" s="20" t="s">
        <v>183</v>
      </c>
      <c r="Z19" s="20" t="s">
        <v>198</v>
      </c>
      <c r="AA19" s="25"/>
      <c r="AB19" s="49" t="s">
        <v>166</v>
      </c>
      <c r="AC19" s="49">
        <v>0.8</v>
      </c>
      <c r="AD19" s="49" t="s">
        <v>183</v>
      </c>
      <c r="AE19" s="26" t="s">
        <v>199</v>
      </c>
      <c r="AF19" s="25" t="s">
        <v>164</v>
      </c>
      <c r="AG19" s="25" t="s">
        <v>164</v>
      </c>
      <c r="AH19" s="49" t="s">
        <v>166</v>
      </c>
      <c r="AI19" s="25" t="s">
        <v>164</v>
      </c>
      <c r="AJ19" s="25" t="s">
        <v>164</v>
      </c>
      <c r="AK19" s="25" t="s">
        <v>164</v>
      </c>
      <c r="AL19" s="25" t="s">
        <v>164</v>
      </c>
      <c r="AM19" s="22"/>
      <c r="AN19" s="22"/>
      <c r="AO19" s="43">
        <f t="shared" si="2"/>
        <v>0</v>
      </c>
      <c r="AP19" s="22" t="s">
        <v>164</v>
      </c>
      <c r="AQ19" s="22" t="s">
        <v>164</v>
      </c>
      <c r="AR19" s="22" t="s">
        <v>164</v>
      </c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 t="s">
        <v>164</v>
      </c>
      <c r="BF19" s="22" t="s">
        <v>164</v>
      </c>
      <c r="BG19" s="22" t="s">
        <v>164</v>
      </c>
      <c r="BH19" s="22" t="s">
        <v>164</v>
      </c>
      <c r="BI19" s="22"/>
      <c r="BJ19" s="22" t="s">
        <v>164</v>
      </c>
      <c r="BK19" s="22"/>
      <c r="BL19" s="22" t="s">
        <v>164</v>
      </c>
      <c r="BM19" s="22"/>
      <c r="BN19" s="22" t="s">
        <v>164</v>
      </c>
      <c r="BO19" s="22"/>
      <c r="BP19" s="22"/>
      <c r="BQ19" s="22"/>
      <c r="BR19" s="22" t="s">
        <v>164</v>
      </c>
      <c r="BS19" s="22"/>
      <c r="BT19" s="22" t="s">
        <v>164</v>
      </c>
      <c r="BU19" s="22"/>
      <c r="BV19" s="22"/>
      <c r="BW19" s="22"/>
      <c r="BX19" s="22" t="s">
        <v>164</v>
      </c>
      <c r="BY19" s="22"/>
      <c r="BZ19" s="22" t="s">
        <v>164</v>
      </c>
      <c r="CA19" s="22"/>
      <c r="CB19" s="22" t="s">
        <v>164</v>
      </c>
      <c r="CC19" s="22"/>
      <c r="CD19" s="22" t="s">
        <v>164</v>
      </c>
      <c r="CE19" s="25" t="s">
        <v>164</v>
      </c>
      <c r="CF19" s="25" t="s">
        <v>164</v>
      </c>
      <c r="CG19" s="25" t="s">
        <v>164</v>
      </c>
      <c r="CH19" s="25" t="s">
        <v>164</v>
      </c>
      <c r="CI19" s="25" t="s">
        <v>164</v>
      </c>
      <c r="CJ19" s="25" t="s">
        <v>164</v>
      </c>
      <c r="CK19" s="25" t="s">
        <v>164</v>
      </c>
      <c r="CL19" s="25" t="s">
        <v>164</v>
      </c>
      <c r="CM19" s="25" t="s">
        <v>164</v>
      </c>
      <c r="CN19" s="25" t="s">
        <v>164</v>
      </c>
      <c r="CO19" s="25" t="s">
        <v>164</v>
      </c>
      <c r="CP19" s="25" t="s">
        <v>164</v>
      </c>
      <c r="CQ19" s="25" t="s">
        <v>164</v>
      </c>
      <c r="CR19" s="25" t="s">
        <v>164</v>
      </c>
      <c r="CS19" s="25" t="s">
        <v>164</v>
      </c>
      <c r="CT19" s="25" t="s">
        <v>164</v>
      </c>
      <c r="CU19" s="25" t="s">
        <v>164</v>
      </c>
      <c r="CV19" s="25" t="s">
        <v>164</v>
      </c>
      <c r="CW19" s="37" t="s">
        <v>166</v>
      </c>
      <c r="CX19" s="38">
        <v>3.01</v>
      </c>
      <c r="CY19" s="38">
        <v>-1.82</v>
      </c>
      <c r="CZ19" s="33"/>
      <c r="DA19" s="33" t="s">
        <v>164</v>
      </c>
      <c r="DB19" s="33" t="s">
        <v>164</v>
      </c>
      <c r="DC19" s="33" t="s">
        <v>164</v>
      </c>
      <c r="DD19" s="33" t="s">
        <v>164</v>
      </c>
      <c r="DE19" s="33" t="s">
        <v>164</v>
      </c>
      <c r="DF19" s="33" t="s">
        <v>164</v>
      </c>
      <c r="DG19" s="33" t="s">
        <v>164</v>
      </c>
      <c r="DH19" s="33" t="s">
        <v>164</v>
      </c>
      <c r="DI19" s="33" t="s">
        <v>164</v>
      </c>
      <c r="DJ19" s="25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55"/>
      <c r="FB19" s="55"/>
      <c r="FC19" s="55"/>
      <c r="FD19" s="55"/>
      <c r="FE19" s="55"/>
      <c r="FF19" s="55"/>
      <c r="FG19" s="55"/>
      <c r="FH19" s="55"/>
      <c r="FI19" s="55"/>
      <c r="FJ19" s="55"/>
      <c r="FK19" s="55"/>
      <c r="FL19" s="55"/>
      <c r="FM19" s="55"/>
      <c r="FN19" s="55"/>
      <c r="FO19" s="55"/>
      <c r="FP19" s="55"/>
      <c r="FQ19" s="55"/>
      <c r="FR19" s="55"/>
      <c r="FS19" s="55"/>
      <c r="FT19" s="55"/>
      <c r="FU19" s="55"/>
      <c r="FV19" s="55"/>
      <c r="FW19" s="55"/>
      <c r="FX19" s="55"/>
      <c r="FY19" s="55"/>
      <c r="FZ19" s="55"/>
      <c r="GA19" s="55"/>
    </row>
    <row r="20" ht="15.75" customHeight="1">
      <c r="A20" s="20" t="s">
        <v>200</v>
      </c>
      <c r="B20" s="20"/>
      <c r="C20" s="21"/>
      <c r="D20" s="21"/>
      <c r="E20" s="21"/>
      <c r="F20" s="21"/>
      <c r="G20" s="21"/>
      <c r="H20" s="21"/>
      <c r="I20" s="21"/>
      <c r="J20" s="22"/>
      <c r="K20" s="48" t="s">
        <v>201</v>
      </c>
      <c r="L20" s="23"/>
      <c r="M20" s="23"/>
      <c r="N20" s="23"/>
      <c r="O20" s="21" t="s">
        <v>164</v>
      </c>
      <c r="P20" s="35"/>
      <c r="Q20" s="24" t="str">
        <f t="shared" si="1"/>
        <v>fine-grained, banded, grey marble</v>
      </c>
      <c r="R20" s="20" t="s">
        <v>180</v>
      </c>
      <c r="S20" s="20" t="s">
        <v>181</v>
      </c>
      <c r="T20" s="20" t="s">
        <v>182</v>
      </c>
      <c r="U20" s="20" t="s">
        <v>189</v>
      </c>
      <c r="V20" s="20" t="s">
        <v>190</v>
      </c>
      <c r="W20" s="20" t="s">
        <v>166</v>
      </c>
      <c r="X20" s="20">
        <v>1.3</v>
      </c>
      <c r="Y20" s="20" t="s">
        <v>183</v>
      </c>
      <c r="Z20" s="20" t="s">
        <v>184</v>
      </c>
      <c r="AA20" s="25"/>
      <c r="AB20" s="49" t="s">
        <v>166</v>
      </c>
      <c r="AC20" s="49">
        <v>1.8</v>
      </c>
      <c r="AD20" s="49" t="s">
        <v>183</v>
      </c>
      <c r="AE20" s="26" t="s">
        <v>192</v>
      </c>
      <c r="AF20" s="49" t="s">
        <v>166</v>
      </c>
      <c r="AG20" s="25" t="s">
        <v>164</v>
      </c>
      <c r="AH20" s="25" t="s">
        <v>164</v>
      </c>
      <c r="AI20" s="25" t="s">
        <v>164</v>
      </c>
      <c r="AJ20" s="25" t="s">
        <v>164</v>
      </c>
      <c r="AK20" s="25" t="s">
        <v>164</v>
      </c>
      <c r="AL20" s="25" t="s">
        <v>164</v>
      </c>
      <c r="AM20" s="22"/>
      <c r="AN20" s="22"/>
      <c r="AO20" s="43">
        <f t="shared" si="2"/>
        <v>0</v>
      </c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 t="s">
        <v>164</v>
      </c>
      <c r="BF20" s="22" t="s">
        <v>164</v>
      </c>
      <c r="BG20" s="22" t="s">
        <v>164</v>
      </c>
      <c r="BH20" s="22" t="s">
        <v>164</v>
      </c>
      <c r="BI20" s="22"/>
      <c r="BJ20" s="22" t="s">
        <v>164</v>
      </c>
      <c r="BK20" s="22"/>
      <c r="BL20" s="22" t="s">
        <v>164</v>
      </c>
      <c r="BM20" s="22"/>
      <c r="BN20" s="22" t="s">
        <v>164</v>
      </c>
      <c r="BO20" s="22"/>
      <c r="BP20" s="22"/>
      <c r="BQ20" s="22"/>
      <c r="BR20" s="22" t="s">
        <v>164</v>
      </c>
      <c r="BS20" s="22"/>
      <c r="BT20" s="22" t="s">
        <v>164</v>
      </c>
      <c r="BU20" s="22"/>
      <c r="BV20" s="22"/>
      <c r="BW20" s="22"/>
      <c r="BX20" s="22" t="s">
        <v>164</v>
      </c>
      <c r="BY20" s="22"/>
      <c r="BZ20" s="22" t="s">
        <v>164</v>
      </c>
      <c r="CA20" s="22"/>
      <c r="CB20" s="22" t="s">
        <v>164</v>
      </c>
      <c r="CC20" s="22"/>
      <c r="CD20" s="22" t="s">
        <v>164</v>
      </c>
      <c r="CE20" s="25" t="s">
        <v>164</v>
      </c>
      <c r="CF20" s="25" t="s">
        <v>164</v>
      </c>
      <c r="CG20" s="25" t="s">
        <v>164</v>
      </c>
      <c r="CH20" s="25" t="s">
        <v>164</v>
      </c>
      <c r="CI20" s="25" t="s">
        <v>164</v>
      </c>
      <c r="CJ20" s="25" t="s">
        <v>164</v>
      </c>
      <c r="CK20" s="25" t="s">
        <v>164</v>
      </c>
      <c r="CL20" s="25" t="s">
        <v>164</v>
      </c>
      <c r="CM20" s="25" t="s">
        <v>164</v>
      </c>
      <c r="CN20" s="25" t="s">
        <v>164</v>
      </c>
      <c r="CO20" s="25" t="s">
        <v>164</v>
      </c>
      <c r="CP20" s="25" t="s">
        <v>164</v>
      </c>
      <c r="CQ20" s="25" t="s">
        <v>164</v>
      </c>
      <c r="CR20" s="25" t="s">
        <v>164</v>
      </c>
      <c r="CS20" s="25" t="s">
        <v>164</v>
      </c>
      <c r="CT20" s="25" t="s">
        <v>164</v>
      </c>
      <c r="CU20" s="25" t="s">
        <v>164</v>
      </c>
      <c r="CV20" s="25" t="s">
        <v>164</v>
      </c>
      <c r="CW20" s="37" t="s">
        <v>166</v>
      </c>
      <c r="CX20" s="38">
        <v>2.56</v>
      </c>
      <c r="CY20" s="38">
        <v>-0.71</v>
      </c>
      <c r="CZ20" s="50" t="s">
        <v>166</v>
      </c>
      <c r="DA20" s="33" t="s">
        <v>164</v>
      </c>
      <c r="DB20" s="33" t="s">
        <v>164</v>
      </c>
      <c r="DC20" s="33" t="s">
        <v>164</v>
      </c>
      <c r="DD20" s="33" t="s">
        <v>164</v>
      </c>
      <c r="DE20" s="33" t="s">
        <v>164</v>
      </c>
      <c r="DF20" s="33" t="s">
        <v>164</v>
      </c>
      <c r="DG20" s="33" t="s">
        <v>164</v>
      </c>
      <c r="DH20" s="33" t="s">
        <v>164</v>
      </c>
      <c r="DI20" s="33" t="s">
        <v>164</v>
      </c>
      <c r="DJ20" s="49" t="s">
        <v>166</v>
      </c>
      <c r="DK20" s="52">
        <v>0.55</v>
      </c>
      <c r="DL20" s="52">
        <v>4.34</v>
      </c>
      <c r="DM20" s="52">
        <v>40.94</v>
      </c>
      <c r="DN20" s="52">
        <v>4127.19</v>
      </c>
      <c r="DO20" s="52">
        <v>0.135523155</v>
      </c>
      <c r="DP20" s="52">
        <v>9.56</v>
      </c>
      <c r="DQ20" s="52">
        <v>0.54</v>
      </c>
      <c r="DR20" s="52">
        <v>3.07</v>
      </c>
      <c r="DS20" s="52">
        <v>1.11</v>
      </c>
      <c r="DT20" s="52">
        <v>10.08</v>
      </c>
      <c r="DU20" s="52">
        <v>145.57</v>
      </c>
      <c r="DV20" s="52">
        <v>0.19</v>
      </c>
      <c r="DW20" s="52">
        <v>3.1</v>
      </c>
      <c r="DX20" s="52">
        <v>0.96</v>
      </c>
      <c r="DY20" s="52">
        <v>10.74</v>
      </c>
      <c r="DZ20" s="52">
        <v>0.03</v>
      </c>
      <c r="EA20" s="52">
        <v>0.39</v>
      </c>
      <c r="EB20" s="52">
        <v>0.08</v>
      </c>
      <c r="EC20" s="52">
        <v>167.97</v>
      </c>
      <c r="ED20" s="52">
        <v>4.6</v>
      </c>
      <c r="EE20" s="52">
        <v>0.23</v>
      </c>
      <c r="EF20" s="52">
        <v>0.01</v>
      </c>
      <c r="EG20" s="52">
        <v>0.01</v>
      </c>
      <c r="EH20" s="52">
        <v>0.24</v>
      </c>
      <c r="EI20" s="52">
        <v>0.4</v>
      </c>
      <c r="EJ20" s="52">
        <v>0.01</v>
      </c>
      <c r="EK20" s="52">
        <v>0.86</v>
      </c>
      <c r="EL20" s="52">
        <v>1.14</v>
      </c>
      <c r="EM20" s="52">
        <v>0.43</v>
      </c>
      <c r="EN20" s="52">
        <v>0.97</v>
      </c>
      <c r="EO20" s="52">
        <v>0.19</v>
      </c>
      <c r="EP20" s="52">
        <v>0.05</v>
      </c>
      <c r="EQ20" s="52">
        <v>0.16</v>
      </c>
      <c r="ER20" s="52">
        <v>0.43</v>
      </c>
      <c r="ES20" s="52">
        <v>0.34</v>
      </c>
      <c r="ET20" s="52">
        <v>0.121542639</v>
      </c>
      <c r="EU20" s="52">
        <v>0.01</v>
      </c>
      <c r="EV20" s="52">
        <v>7.68</v>
      </c>
      <c r="EW20" s="52">
        <v>4.06</v>
      </c>
      <c r="EX20" s="52">
        <v>5.21</v>
      </c>
      <c r="EY20" s="52">
        <v>0.03</v>
      </c>
      <c r="EZ20" s="40"/>
      <c r="FA20" s="55"/>
      <c r="FB20" s="55"/>
      <c r="FC20" s="55"/>
      <c r="FD20" s="55"/>
      <c r="FE20" s="55"/>
      <c r="FF20" s="55"/>
      <c r="FG20" s="55"/>
      <c r="FH20" s="55"/>
      <c r="FI20" s="55"/>
      <c r="FJ20" s="55"/>
      <c r="FK20" s="55"/>
      <c r="FL20" s="55"/>
      <c r="FM20" s="55"/>
      <c r="FN20" s="55"/>
      <c r="FO20" s="55"/>
      <c r="FP20" s="55"/>
      <c r="FQ20" s="55"/>
      <c r="FR20" s="55"/>
      <c r="FS20" s="55"/>
      <c r="FT20" s="55"/>
      <c r="FU20" s="55"/>
      <c r="FV20" s="55"/>
      <c r="FW20" s="55"/>
      <c r="FX20" s="55"/>
      <c r="FY20" s="55"/>
      <c r="FZ20" s="55"/>
      <c r="GA20" s="55"/>
    </row>
    <row r="21" ht="15.75" customHeight="1">
      <c r="A21" s="20" t="s">
        <v>202</v>
      </c>
      <c r="B21" s="20"/>
      <c r="C21" s="21"/>
      <c r="D21" s="21"/>
      <c r="E21" s="21"/>
      <c r="F21" s="21"/>
      <c r="G21" s="21"/>
      <c r="H21" s="21"/>
      <c r="I21" s="21"/>
      <c r="J21" s="22"/>
      <c r="K21" s="48" t="s">
        <v>203</v>
      </c>
      <c r="L21" s="23"/>
      <c r="M21" s="23"/>
      <c r="N21" s="23"/>
      <c r="O21" s="21" t="s">
        <v>164</v>
      </c>
      <c r="P21" s="56" t="s">
        <v>204</v>
      </c>
      <c r="Q21" s="24" t="str">
        <f t="shared" si="1"/>
        <v>medium-grained, veined, white marble</v>
      </c>
      <c r="R21" s="20" t="s">
        <v>205</v>
      </c>
      <c r="S21" s="20" t="s">
        <v>189</v>
      </c>
      <c r="T21" s="20" t="s">
        <v>206</v>
      </c>
      <c r="U21" s="20" t="s">
        <v>181</v>
      </c>
      <c r="V21" s="20" t="s">
        <v>190</v>
      </c>
      <c r="W21" s="20" t="s">
        <v>166</v>
      </c>
      <c r="X21" s="20">
        <v>2.1</v>
      </c>
      <c r="Y21" s="20" t="s">
        <v>191</v>
      </c>
      <c r="Z21" s="20" t="s">
        <v>198</v>
      </c>
      <c r="AA21" s="25"/>
      <c r="AB21" s="49" t="s">
        <v>166</v>
      </c>
      <c r="AC21" s="49">
        <v>2.3</v>
      </c>
      <c r="AD21" s="57" t="s">
        <v>191</v>
      </c>
      <c r="AE21" s="26" t="s">
        <v>207</v>
      </c>
      <c r="AF21" s="49" t="s">
        <v>166</v>
      </c>
      <c r="AG21" s="49" t="s">
        <v>166</v>
      </c>
      <c r="AH21" s="25" t="s">
        <v>164</v>
      </c>
      <c r="AI21" s="25" t="s">
        <v>164</v>
      </c>
      <c r="AJ21" s="25" t="s">
        <v>164</v>
      </c>
      <c r="AK21" s="25" t="s">
        <v>164</v>
      </c>
      <c r="AL21" s="25" t="s">
        <v>164</v>
      </c>
      <c r="AM21" s="22"/>
      <c r="AN21" s="22"/>
      <c r="AO21" s="43">
        <f t="shared" si="2"/>
        <v>0</v>
      </c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 t="s">
        <v>164</v>
      </c>
      <c r="BF21" s="22" t="s">
        <v>164</v>
      </c>
      <c r="BG21" s="22" t="s">
        <v>164</v>
      </c>
      <c r="BH21" s="22" t="s">
        <v>164</v>
      </c>
      <c r="BI21" s="22"/>
      <c r="BJ21" s="22" t="s">
        <v>164</v>
      </c>
      <c r="BK21" s="22"/>
      <c r="BL21" s="22" t="s">
        <v>164</v>
      </c>
      <c r="BM21" s="22"/>
      <c r="BN21" s="22" t="s">
        <v>164</v>
      </c>
      <c r="BO21" s="22"/>
      <c r="BP21" s="22"/>
      <c r="BQ21" s="22"/>
      <c r="BR21" s="22" t="s">
        <v>164</v>
      </c>
      <c r="BS21" s="22"/>
      <c r="BT21" s="22" t="s">
        <v>164</v>
      </c>
      <c r="BU21" s="22"/>
      <c r="BV21" s="22"/>
      <c r="BW21" s="22"/>
      <c r="BX21" s="22" t="s">
        <v>164</v>
      </c>
      <c r="BY21" s="22"/>
      <c r="BZ21" s="22" t="s">
        <v>164</v>
      </c>
      <c r="CA21" s="22"/>
      <c r="CB21" s="22" t="s">
        <v>164</v>
      </c>
      <c r="CC21" s="22"/>
      <c r="CD21" s="22" t="s">
        <v>164</v>
      </c>
      <c r="CE21" s="25" t="s">
        <v>164</v>
      </c>
      <c r="CF21" s="25" t="s">
        <v>164</v>
      </c>
      <c r="CG21" s="25" t="s">
        <v>164</v>
      </c>
      <c r="CH21" s="25" t="s">
        <v>164</v>
      </c>
      <c r="CI21" s="25" t="s">
        <v>164</v>
      </c>
      <c r="CJ21" s="25" t="s">
        <v>164</v>
      </c>
      <c r="CK21" s="25" t="s">
        <v>164</v>
      </c>
      <c r="CL21" s="25" t="s">
        <v>164</v>
      </c>
      <c r="CM21" s="25" t="s">
        <v>164</v>
      </c>
      <c r="CN21" s="25" t="s">
        <v>164</v>
      </c>
      <c r="CO21" s="25" t="s">
        <v>164</v>
      </c>
      <c r="CP21" s="25" t="s">
        <v>164</v>
      </c>
      <c r="CQ21" s="25" t="s">
        <v>164</v>
      </c>
      <c r="CR21" s="25" t="s">
        <v>164</v>
      </c>
      <c r="CS21" s="25" t="s">
        <v>164</v>
      </c>
      <c r="CT21" s="25" t="s">
        <v>164</v>
      </c>
      <c r="CU21" s="25" t="s">
        <v>164</v>
      </c>
      <c r="CV21" s="25" t="s">
        <v>164</v>
      </c>
      <c r="CW21" s="37" t="s">
        <v>166</v>
      </c>
      <c r="CX21" s="38">
        <v>2.72</v>
      </c>
      <c r="CY21" s="38">
        <v>-1.35</v>
      </c>
      <c r="CZ21" s="50" t="s">
        <v>166</v>
      </c>
      <c r="DA21" s="33" t="s">
        <v>164</v>
      </c>
      <c r="DB21" s="33" t="s">
        <v>164</v>
      </c>
      <c r="DC21" s="33" t="s">
        <v>164</v>
      </c>
      <c r="DD21" s="33" t="s">
        <v>164</v>
      </c>
      <c r="DE21" s="33" t="s">
        <v>164</v>
      </c>
      <c r="DF21" s="33" t="s">
        <v>164</v>
      </c>
      <c r="DG21" s="33" t="s">
        <v>164</v>
      </c>
      <c r="DH21" s="33" t="s">
        <v>164</v>
      </c>
      <c r="DI21" s="33" t="s">
        <v>164</v>
      </c>
      <c r="DJ21" s="49" t="s">
        <v>166</v>
      </c>
      <c r="DK21" s="52">
        <v>3.34</v>
      </c>
      <c r="DL21" s="52">
        <v>9.95</v>
      </c>
      <c r="DM21" s="52">
        <v>131.73</v>
      </c>
      <c r="DN21" s="52">
        <v>2923.23</v>
      </c>
      <c r="DO21" s="52">
        <v>0.110978479</v>
      </c>
      <c r="DP21" s="52">
        <v>12.12</v>
      </c>
      <c r="DQ21" s="52">
        <v>2.87</v>
      </c>
      <c r="DR21" s="52">
        <v>4.65</v>
      </c>
      <c r="DS21" s="52">
        <v>2.79</v>
      </c>
      <c r="DT21" s="52">
        <v>12.15</v>
      </c>
      <c r="DU21" s="52">
        <v>526.63</v>
      </c>
      <c r="DV21" s="52">
        <v>0.35</v>
      </c>
      <c r="DW21" s="52">
        <v>1.52</v>
      </c>
      <c r="DX21" s="52">
        <v>3.94</v>
      </c>
      <c r="DY21" s="52">
        <v>35.46</v>
      </c>
      <c r="DZ21" s="52">
        <v>0.44</v>
      </c>
      <c r="EA21" s="52">
        <v>1.29</v>
      </c>
      <c r="EB21" s="52">
        <v>0.94</v>
      </c>
      <c r="EC21" s="52">
        <v>152.16</v>
      </c>
      <c r="ED21" s="52">
        <v>0.19</v>
      </c>
      <c r="EE21" s="52">
        <v>0.21</v>
      </c>
      <c r="EF21" s="52">
        <v>0.1</v>
      </c>
      <c r="EG21" s="52">
        <v>0.48</v>
      </c>
      <c r="EH21" s="52">
        <v>0.39</v>
      </c>
      <c r="EI21" s="52">
        <v>0.4</v>
      </c>
      <c r="EJ21" s="52">
        <v>0.14</v>
      </c>
      <c r="EK21" s="52">
        <v>6.52</v>
      </c>
      <c r="EL21" s="52">
        <v>0.19</v>
      </c>
      <c r="EM21" s="52">
        <v>0.7</v>
      </c>
      <c r="EN21" s="52">
        <v>0.16</v>
      </c>
      <c r="EO21" s="52">
        <v>0.03</v>
      </c>
      <c r="EP21" s="52">
        <v>0.01</v>
      </c>
      <c r="EQ21" s="52">
        <v>0.02</v>
      </c>
      <c r="ER21" s="52">
        <v>0.02</v>
      </c>
      <c r="ES21" s="52">
        <v>0.01</v>
      </c>
      <c r="ET21" s="52">
        <v>0.006513515</v>
      </c>
      <c r="EU21" s="52">
        <v>0.01</v>
      </c>
      <c r="EV21" s="52">
        <v>26.43</v>
      </c>
      <c r="EW21" s="52">
        <v>19.93</v>
      </c>
      <c r="EX21" s="52">
        <v>1.48</v>
      </c>
      <c r="EY21" s="52">
        <v>0.01</v>
      </c>
      <c r="EZ21" s="40"/>
      <c r="FA21" s="55"/>
      <c r="FB21" s="55"/>
      <c r="FC21" s="55"/>
      <c r="FD21" s="55"/>
      <c r="FE21" s="55"/>
      <c r="FF21" s="55"/>
      <c r="FG21" s="55"/>
      <c r="FH21" s="55"/>
      <c r="FI21" s="55"/>
      <c r="FJ21" s="55"/>
      <c r="FK21" s="55"/>
      <c r="FL21" s="55"/>
      <c r="FM21" s="55"/>
      <c r="FN21" s="55"/>
      <c r="FO21" s="55"/>
      <c r="FP21" s="55"/>
      <c r="FQ21" s="55"/>
      <c r="FR21" s="55"/>
      <c r="FS21" s="55"/>
      <c r="FT21" s="55"/>
      <c r="FU21" s="55"/>
      <c r="FV21" s="55"/>
      <c r="FW21" s="55"/>
      <c r="FX21" s="55"/>
      <c r="FY21" s="55"/>
      <c r="FZ21" s="55"/>
      <c r="GA21" s="55"/>
    </row>
    <row r="22" ht="15.75" customHeight="1">
      <c r="A22" s="20" t="s">
        <v>208</v>
      </c>
      <c r="B22" s="20"/>
      <c r="C22" s="21"/>
      <c r="D22" s="21"/>
      <c r="E22" s="21"/>
      <c r="F22" s="21"/>
      <c r="G22" s="21"/>
      <c r="H22" s="21"/>
      <c r="I22" s="21"/>
      <c r="J22" s="22"/>
      <c r="K22" s="23"/>
      <c r="L22" s="23"/>
      <c r="M22" s="23"/>
      <c r="N22" s="23"/>
      <c r="O22" s="21"/>
      <c r="P22" s="35"/>
      <c r="Q22" s="24" t="str">
        <f t="shared" si="1"/>
        <v>fine-grained, banded, white marble</v>
      </c>
      <c r="R22" s="20" t="s">
        <v>180</v>
      </c>
      <c r="S22" s="20" t="s">
        <v>189</v>
      </c>
      <c r="T22" s="20" t="s">
        <v>182</v>
      </c>
      <c r="U22" s="20" t="s">
        <v>181</v>
      </c>
      <c r="V22" s="22"/>
      <c r="W22" s="20" t="s">
        <v>166</v>
      </c>
      <c r="X22" s="20">
        <v>1.4</v>
      </c>
      <c r="Y22" s="20" t="s">
        <v>209</v>
      </c>
      <c r="Z22" s="20" t="s">
        <v>184</v>
      </c>
      <c r="AA22" s="25"/>
      <c r="AB22" s="25"/>
      <c r="AC22" s="25"/>
      <c r="AD22" s="58"/>
      <c r="AE22" s="53"/>
      <c r="AF22" s="25"/>
      <c r="AG22" s="25"/>
      <c r="AH22" s="25"/>
      <c r="AI22" s="25"/>
      <c r="AJ22" s="25"/>
      <c r="AK22" s="25"/>
      <c r="AL22" s="25"/>
      <c r="AM22" s="22"/>
      <c r="AN22" s="22"/>
      <c r="AO22" s="43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46"/>
      <c r="CX22" s="59"/>
      <c r="CY22" s="59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25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55"/>
      <c r="FB22" s="55"/>
      <c r="FC22" s="55"/>
      <c r="FD22" s="55"/>
      <c r="FE22" s="55"/>
      <c r="FF22" s="55"/>
      <c r="FG22" s="55"/>
      <c r="FH22" s="55"/>
      <c r="FI22" s="55"/>
      <c r="FJ22" s="55"/>
      <c r="FK22" s="55"/>
      <c r="FL22" s="55"/>
      <c r="FM22" s="55"/>
      <c r="FN22" s="55"/>
      <c r="FO22" s="55"/>
      <c r="FP22" s="55"/>
      <c r="FQ22" s="55"/>
      <c r="FR22" s="55"/>
      <c r="FS22" s="55"/>
      <c r="FT22" s="55"/>
      <c r="FU22" s="55"/>
      <c r="FV22" s="55"/>
      <c r="FW22" s="55"/>
      <c r="FX22" s="55"/>
      <c r="FY22" s="55"/>
      <c r="FZ22" s="55"/>
      <c r="GA22" s="55"/>
    </row>
    <row r="23" ht="15.75" customHeight="1">
      <c r="A23" s="20" t="s">
        <v>210</v>
      </c>
      <c r="B23" s="20"/>
      <c r="C23" s="21"/>
      <c r="D23" s="21"/>
      <c r="E23" s="21"/>
      <c r="F23" s="21"/>
      <c r="G23" s="21"/>
      <c r="H23" s="21"/>
      <c r="I23" s="21"/>
      <c r="J23" s="22"/>
      <c r="K23" s="23"/>
      <c r="L23" s="23"/>
      <c r="M23" s="23"/>
      <c r="N23" s="23"/>
      <c r="O23" s="21"/>
      <c r="P23" s="35"/>
      <c r="Q23" s="24" t="str">
        <f t="shared" si="1"/>
        <v>fine-grained, banded, white marble</v>
      </c>
      <c r="R23" s="20" t="s">
        <v>180</v>
      </c>
      <c r="S23" s="20" t="s">
        <v>189</v>
      </c>
      <c r="T23" s="20" t="s">
        <v>182</v>
      </c>
      <c r="U23" s="20" t="s">
        <v>181</v>
      </c>
      <c r="V23" s="22"/>
      <c r="W23" s="20" t="s">
        <v>166</v>
      </c>
      <c r="X23" s="20">
        <v>3.3</v>
      </c>
      <c r="Y23" s="20" t="s">
        <v>191</v>
      </c>
      <c r="Z23" s="20" t="s">
        <v>184</v>
      </c>
      <c r="AA23" s="25"/>
      <c r="AB23" s="25"/>
      <c r="AC23" s="25"/>
      <c r="AD23" s="58"/>
      <c r="AE23" s="53"/>
      <c r="AF23" s="25"/>
      <c r="AG23" s="25"/>
      <c r="AH23" s="25"/>
      <c r="AI23" s="25"/>
      <c r="AJ23" s="25"/>
      <c r="AK23" s="25"/>
      <c r="AL23" s="25"/>
      <c r="AM23" s="22"/>
      <c r="AN23" s="22"/>
      <c r="AO23" s="43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60"/>
      <c r="CX23" s="61"/>
      <c r="CY23" s="61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25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55"/>
      <c r="FB23" s="55"/>
      <c r="FC23" s="55"/>
      <c r="FD23" s="55"/>
      <c r="FE23" s="55"/>
      <c r="FF23" s="55"/>
      <c r="FG23" s="55"/>
      <c r="FH23" s="55"/>
      <c r="FI23" s="55"/>
      <c r="FJ23" s="55"/>
      <c r="FK23" s="55"/>
      <c r="FL23" s="55"/>
      <c r="FM23" s="55"/>
      <c r="FN23" s="55"/>
      <c r="FO23" s="55"/>
      <c r="FP23" s="55"/>
      <c r="FQ23" s="55"/>
      <c r="FR23" s="55"/>
      <c r="FS23" s="55"/>
      <c r="FT23" s="55"/>
      <c r="FU23" s="55"/>
      <c r="FV23" s="55"/>
      <c r="FW23" s="55"/>
      <c r="FX23" s="55"/>
      <c r="FY23" s="55"/>
      <c r="FZ23" s="55"/>
      <c r="GA23" s="55"/>
    </row>
    <row r="24" ht="15.75" customHeight="1">
      <c r="A24" s="20" t="s">
        <v>211</v>
      </c>
      <c r="B24" s="20"/>
      <c r="C24" s="21"/>
      <c r="D24" s="21"/>
      <c r="E24" s="21"/>
      <c r="F24" s="21"/>
      <c r="G24" s="21"/>
      <c r="H24" s="21"/>
      <c r="I24" s="21"/>
      <c r="J24" s="22"/>
      <c r="K24" s="23"/>
      <c r="L24" s="23"/>
      <c r="M24" s="23"/>
      <c r="N24" s="23"/>
      <c r="O24" s="21"/>
      <c r="P24" s="35"/>
      <c r="Q24" s="24" t="str">
        <f t="shared" si="1"/>
        <v>fine-grained, veined, grey marble</v>
      </c>
      <c r="R24" s="20" t="s">
        <v>180</v>
      </c>
      <c r="S24" s="20" t="s">
        <v>181</v>
      </c>
      <c r="T24" s="20" t="s">
        <v>206</v>
      </c>
      <c r="U24" s="20" t="s">
        <v>189</v>
      </c>
      <c r="V24" s="22"/>
      <c r="W24" s="20" t="s">
        <v>166</v>
      </c>
      <c r="X24" s="20">
        <v>0.6</v>
      </c>
      <c r="Y24" s="20" t="s">
        <v>191</v>
      </c>
      <c r="Z24" s="20" t="s">
        <v>184</v>
      </c>
      <c r="AA24" s="25"/>
      <c r="AB24" s="25"/>
      <c r="AC24" s="25"/>
      <c r="AD24" s="58"/>
      <c r="AE24" s="53"/>
      <c r="AF24" s="25"/>
      <c r="AG24" s="25"/>
      <c r="AH24" s="25"/>
      <c r="AI24" s="25"/>
      <c r="AJ24" s="25"/>
      <c r="AK24" s="25"/>
      <c r="AL24" s="25"/>
      <c r="AM24" s="22"/>
      <c r="AN24" s="22"/>
      <c r="AO24" s="43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60"/>
      <c r="CX24" s="61"/>
      <c r="CY24" s="61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25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55"/>
      <c r="FB24" s="55"/>
      <c r="FC24" s="55"/>
      <c r="FD24" s="55"/>
      <c r="FE24" s="55"/>
      <c r="FF24" s="55"/>
      <c r="FG24" s="55"/>
      <c r="FH24" s="55"/>
      <c r="FI24" s="55"/>
      <c r="FJ24" s="55"/>
      <c r="FK24" s="55"/>
      <c r="FL24" s="55"/>
      <c r="FM24" s="55"/>
      <c r="FN24" s="55"/>
      <c r="FO24" s="55"/>
      <c r="FP24" s="55"/>
      <c r="FQ24" s="55"/>
      <c r="FR24" s="55"/>
      <c r="FS24" s="55"/>
      <c r="FT24" s="55"/>
      <c r="FU24" s="55"/>
      <c r="FV24" s="55"/>
      <c r="FW24" s="55"/>
      <c r="FX24" s="55"/>
      <c r="FY24" s="55"/>
      <c r="FZ24" s="55"/>
      <c r="GA24" s="55"/>
    </row>
    <row r="25" ht="15.75" customHeight="1">
      <c r="A25" s="20" t="s">
        <v>212</v>
      </c>
      <c r="B25" s="20"/>
      <c r="C25" s="21"/>
      <c r="D25" s="21"/>
      <c r="E25" s="21"/>
      <c r="F25" s="21"/>
      <c r="G25" s="21"/>
      <c r="H25" s="21"/>
      <c r="I25" s="21"/>
      <c r="J25" s="22"/>
      <c r="K25" s="23"/>
      <c r="L25" s="23"/>
      <c r="M25" s="62"/>
      <c r="N25" s="23"/>
      <c r="O25" s="21"/>
      <c r="P25" s="35"/>
      <c r="Q25" s="24" t="str">
        <f t="shared" si="1"/>
        <v>medium-grained, banded, white marble</v>
      </c>
      <c r="R25" s="20" t="s">
        <v>205</v>
      </c>
      <c r="S25" s="20" t="s">
        <v>189</v>
      </c>
      <c r="T25" s="20" t="s">
        <v>182</v>
      </c>
      <c r="U25" s="20" t="s">
        <v>181</v>
      </c>
      <c r="V25" s="20"/>
      <c r="W25" s="20" t="s">
        <v>166</v>
      </c>
      <c r="X25" s="20">
        <v>2.0</v>
      </c>
      <c r="Y25" s="20" t="s">
        <v>183</v>
      </c>
      <c r="Z25" s="20" t="s">
        <v>213</v>
      </c>
      <c r="AA25" s="25"/>
      <c r="AB25" s="49" t="s">
        <v>166</v>
      </c>
      <c r="AC25" s="49">
        <v>1.7</v>
      </c>
      <c r="AD25" s="57" t="s">
        <v>183</v>
      </c>
      <c r="AE25" s="26" t="s">
        <v>213</v>
      </c>
      <c r="AF25" s="49"/>
      <c r="AG25" s="25"/>
      <c r="AH25" s="25"/>
      <c r="AI25" s="25"/>
      <c r="AJ25" s="25"/>
      <c r="AK25" s="25"/>
      <c r="AL25" s="25"/>
      <c r="AM25" s="22"/>
      <c r="AN25" s="22"/>
      <c r="AO25" s="43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37"/>
      <c r="CX25" s="38"/>
      <c r="CY25" s="38"/>
      <c r="CZ25" s="50"/>
      <c r="DA25" s="33"/>
      <c r="DB25" s="33"/>
      <c r="DC25" s="33"/>
      <c r="DD25" s="33"/>
      <c r="DE25" s="33"/>
      <c r="DF25" s="33"/>
      <c r="DG25" s="33"/>
      <c r="DH25" s="33"/>
      <c r="DI25" s="33"/>
      <c r="DJ25" s="49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  <c r="ED25" s="63"/>
      <c r="EE25" s="63"/>
      <c r="EF25" s="63"/>
      <c r="EG25" s="63"/>
      <c r="EH25" s="63"/>
      <c r="EI25" s="63"/>
      <c r="EJ25" s="63"/>
      <c r="EK25" s="63"/>
      <c r="EL25" s="63"/>
      <c r="EM25" s="63"/>
      <c r="EN25" s="63"/>
      <c r="EO25" s="63"/>
      <c r="EP25" s="63"/>
      <c r="EQ25" s="63"/>
      <c r="ER25" s="63"/>
      <c r="ES25" s="63"/>
      <c r="ET25" s="63"/>
      <c r="EU25" s="63"/>
      <c r="EV25" s="63"/>
      <c r="EW25" s="63"/>
      <c r="EX25" s="63"/>
      <c r="EY25" s="63"/>
      <c r="EZ25" s="40"/>
      <c r="FA25" s="40"/>
      <c r="FB25" s="40"/>
      <c r="FC25" s="40"/>
      <c r="FD25" s="40"/>
      <c r="FE25" s="40"/>
      <c r="FF25" s="40"/>
      <c r="FG25" s="40"/>
      <c r="FH25" s="40"/>
      <c r="FI25" s="40"/>
      <c r="FJ25" s="40"/>
      <c r="FK25" s="40"/>
      <c r="FL25" s="40"/>
      <c r="FM25" s="40"/>
      <c r="FN25" s="40"/>
      <c r="FO25" s="40"/>
      <c r="FP25" s="40"/>
      <c r="FQ25" s="40"/>
      <c r="FR25" s="40"/>
      <c r="FS25" s="40"/>
      <c r="FT25" s="40"/>
      <c r="FU25" s="40"/>
      <c r="FV25" s="40"/>
      <c r="FW25" s="40"/>
      <c r="FX25" s="40"/>
      <c r="FY25" s="40"/>
      <c r="FZ25" s="40"/>
      <c r="GA25" s="40"/>
    </row>
    <row r="26" ht="15.75" customHeight="1">
      <c r="A26" s="20" t="s">
        <v>214</v>
      </c>
      <c r="B26" s="20"/>
      <c r="C26" s="21"/>
      <c r="D26" s="21"/>
      <c r="E26" s="21"/>
      <c r="F26" s="21"/>
      <c r="G26" s="21"/>
      <c r="H26" s="21"/>
      <c r="I26" s="21"/>
      <c r="J26" s="22"/>
      <c r="K26" s="23"/>
      <c r="L26" s="23"/>
      <c r="M26" s="62" t="s">
        <v>215</v>
      </c>
      <c r="N26" s="23"/>
      <c r="O26" s="21" t="s">
        <v>164</v>
      </c>
      <c r="P26" s="35"/>
      <c r="Q26" s="24" t="str">
        <f t="shared" si="1"/>
        <v>fine-grained, veined and banded, white marble</v>
      </c>
      <c r="R26" s="20" t="s">
        <v>180</v>
      </c>
      <c r="S26" s="20" t="s">
        <v>189</v>
      </c>
      <c r="T26" s="20" t="s">
        <v>216</v>
      </c>
      <c r="U26" s="20" t="s">
        <v>181</v>
      </c>
      <c r="V26" s="20" t="s">
        <v>190</v>
      </c>
      <c r="W26" s="20" t="s">
        <v>166</v>
      </c>
      <c r="X26" s="20">
        <v>1.5</v>
      </c>
      <c r="Y26" s="20" t="s">
        <v>191</v>
      </c>
      <c r="Z26" s="20" t="s">
        <v>198</v>
      </c>
      <c r="AA26" s="25"/>
      <c r="AB26" s="49" t="s">
        <v>166</v>
      </c>
      <c r="AC26" s="49">
        <v>2.3</v>
      </c>
      <c r="AD26" s="57" t="s">
        <v>209</v>
      </c>
      <c r="AE26" s="26" t="s">
        <v>213</v>
      </c>
      <c r="AF26" s="25" t="s">
        <v>164</v>
      </c>
      <c r="AG26" s="25" t="s">
        <v>164</v>
      </c>
      <c r="AH26" s="25" t="s">
        <v>164</v>
      </c>
      <c r="AI26" s="25" t="s">
        <v>164</v>
      </c>
      <c r="AJ26" s="25" t="s">
        <v>164</v>
      </c>
      <c r="AK26" s="25" t="s">
        <v>164</v>
      </c>
      <c r="AL26" s="25" t="s">
        <v>164</v>
      </c>
      <c r="AM26" s="22"/>
      <c r="AN26" s="22"/>
      <c r="AO26" s="43">
        <f t="shared" ref="AO26:AO54" si="3">SUM(AP26,AQ26,AR26)</f>
        <v>0</v>
      </c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 t="s">
        <v>164</v>
      </c>
      <c r="BF26" s="22" t="s">
        <v>164</v>
      </c>
      <c r="BG26" s="22" t="s">
        <v>164</v>
      </c>
      <c r="BH26" s="22" t="s">
        <v>164</v>
      </c>
      <c r="BI26" s="22"/>
      <c r="BJ26" s="22" t="s">
        <v>164</v>
      </c>
      <c r="BK26" s="22"/>
      <c r="BL26" s="22" t="s">
        <v>164</v>
      </c>
      <c r="BM26" s="22"/>
      <c r="BN26" s="22" t="s">
        <v>164</v>
      </c>
      <c r="BO26" s="22"/>
      <c r="BP26" s="22"/>
      <c r="BQ26" s="22"/>
      <c r="BR26" s="22" t="s">
        <v>164</v>
      </c>
      <c r="BS26" s="22"/>
      <c r="BT26" s="22" t="s">
        <v>164</v>
      </c>
      <c r="BU26" s="22"/>
      <c r="BV26" s="22"/>
      <c r="BW26" s="22"/>
      <c r="BX26" s="22" t="s">
        <v>164</v>
      </c>
      <c r="BY26" s="22"/>
      <c r="BZ26" s="22" t="s">
        <v>164</v>
      </c>
      <c r="CA26" s="22"/>
      <c r="CB26" s="22" t="s">
        <v>164</v>
      </c>
      <c r="CC26" s="22"/>
      <c r="CD26" s="22" t="s">
        <v>164</v>
      </c>
      <c r="CE26" s="25" t="s">
        <v>164</v>
      </c>
      <c r="CF26" s="25" t="s">
        <v>164</v>
      </c>
      <c r="CG26" s="25" t="s">
        <v>164</v>
      </c>
      <c r="CH26" s="25" t="s">
        <v>164</v>
      </c>
      <c r="CI26" s="25" t="s">
        <v>164</v>
      </c>
      <c r="CJ26" s="25" t="s">
        <v>164</v>
      </c>
      <c r="CK26" s="25" t="s">
        <v>164</v>
      </c>
      <c r="CL26" s="25" t="s">
        <v>164</v>
      </c>
      <c r="CM26" s="25" t="s">
        <v>164</v>
      </c>
      <c r="CN26" s="25" t="s">
        <v>164</v>
      </c>
      <c r="CO26" s="25" t="s">
        <v>164</v>
      </c>
      <c r="CP26" s="25" t="s">
        <v>164</v>
      </c>
      <c r="CQ26" s="25" t="s">
        <v>164</v>
      </c>
      <c r="CR26" s="25" t="s">
        <v>164</v>
      </c>
      <c r="CS26" s="25" t="s">
        <v>164</v>
      </c>
      <c r="CT26" s="25" t="s">
        <v>164</v>
      </c>
      <c r="CU26" s="25" t="s">
        <v>164</v>
      </c>
      <c r="CV26" s="25" t="s">
        <v>164</v>
      </c>
      <c r="CW26" s="37" t="s">
        <v>166</v>
      </c>
      <c r="CX26" s="38">
        <v>2.66</v>
      </c>
      <c r="CY26" s="38">
        <v>-2.69</v>
      </c>
      <c r="CZ26" s="50" t="s">
        <v>166</v>
      </c>
      <c r="DA26" s="33" t="s">
        <v>164</v>
      </c>
      <c r="DB26" s="33" t="s">
        <v>164</v>
      </c>
      <c r="DC26" s="33" t="s">
        <v>164</v>
      </c>
      <c r="DD26" s="33" t="s">
        <v>164</v>
      </c>
      <c r="DE26" s="33" t="s">
        <v>164</v>
      </c>
      <c r="DF26" s="33" t="s">
        <v>164</v>
      </c>
      <c r="DG26" s="33" t="s">
        <v>164</v>
      </c>
      <c r="DH26" s="33" t="s">
        <v>164</v>
      </c>
      <c r="DI26" s="33" t="s">
        <v>164</v>
      </c>
      <c r="DJ26" s="49"/>
      <c r="DK26" s="63">
        <v>0.19442</v>
      </c>
      <c r="DL26" s="63">
        <v>0.05954</v>
      </c>
      <c r="DM26" s="63">
        <v>26.68662</v>
      </c>
      <c r="DN26" s="63">
        <v>804.90903</v>
      </c>
      <c r="DO26" s="63">
        <v>0.12498</v>
      </c>
      <c r="DP26" s="63">
        <v>0.12777</v>
      </c>
      <c r="DQ26" s="63">
        <v>1.89078</v>
      </c>
      <c r="DR26" s="63">
        <v>1.56913</v>
      </c>
      <c r="DS26" s="63">
        <v>4.39509</v>
      </c>
      <c r="DT26" s="63">
        <v>34.27152</v>
      </c>
      <c r="DU26" s="63">
        <v>0.04938</v>
      </c>
      <c r="DV26" s="63">
        <v>0.09532</v>
      </c>
      <c r="DW26" s="63">
        <v>0.59107</v>
      </c>
      <c r="DX26" s="63">
        <v>2.39897</v>
      </c>
      <c r="DY26" s="63">
        <v>0.01561</v>
      </c>
      <c r="DZ26" s="63">
        <v>0.14287</v>
      </c>
      <c r="EA26" s="63">
        <v>0.04656</v>
      </c>
      <c r="EB26" s="63">
        <v>47.4408</v>
      </c>
      <c r="EC26" s="63">
        <v>0.18593</v>
      </c>
      <c r="ED26" s="63">
        <v>0.00965</v>
      </c>
      <c r="EE26" s="63">
        <v>0.01548</v>
      </c>
      <c r="EF26" s="63">
        <v>0.01805</v>
      </c>
      <c r="EG26" s="63">
        <v>0.20406</v>
      </c>
      <c r="EH26" s="63">
        <v>0.03768</v>
      </c>
      <c r="EI26" s="63">
        <v>0.01988</v>
      </c>
      <c r="EJ26" s="63">
        <v>0.4404</v>
      </c>
      <c r="EK26" s="63">
        <v>0.23298</v>
      </c>
      <c r="EL26" s="63">
        <v>0.1067</v>
      </c>
      <c r="EM26" s="63">
        <v>0.25333</v>
      </c>
      <c r="EN26" s="63">
        <v>0.02503</v>
      </c>
      <c r="EO26" s="63">
        <v>0.00692</v>
      </c>
      <c r="EP26" s="63">
        <v>0.03053</v>
      </c>
      <c r="EQ26" s="63">
        <v>0.0437</v>
      </c>
      <c r="ER26" s="63">
        <v>0.02404</v>
      </c>
      <c r="ES26" s="63">
        <v>0.04428</v>
      </c>
      <c r="ET26" s="63">
        <v>0.09378</v>
      </c>
      <c r="EU26" s="63">
        <v>0.65067</v>
      </c>
      <c r="EV26" s="63">
        <v>0.12699</v>
      </c>
      <c r="EW26" s="63">
        <v>0.00818</v>
      </c>
      <c r="EX26" s="63">
        <v>0.00398</v>
      </c>
      <c r="EY26" s="63">
        <v>0.03772</v>
      </c>
      <c r="EZ26" s="40"/>
      <c r="FA26" s="40"/>
      <c r="FB26" s="40"/>
      <c r="FC26" s="40"/>
      <c r="FD26" s="40"/>
      <c r="FE26" s="40"/>
      <c r="FF26" s="40"/>
      <c r="FG26" s="40"/>
      <c r="FH26" s="40"/>
      <c r="FI26" s="40"/>
      <c r="FJ26" s="40"/>
      <c r="FK26" s="40"/>
      <c r="FL26" s="40"/>
      <c r="FM26" s="40"/>
      <c r="FN26" s="40"/>
      <c r="FO26" s="40"/>
      <c r="FP26" s="40"/>
      <c r="FQ26" s="40"/>
      <c r="FR26" s="40"/>
      <c r="FS26" s="40"/>
      <c r="FT26" s="40"/>
      <c r="FU26" s="40"/>
      <c r="FV26" s="40"/>
      <c r="FW26" s="40"/>
      <c r="FX26" s="40"/>
      <c r="FY26" s="40"/>
      <c r="FZ26" s="40"/>
      <c r="GA26" s="40"/>
    </row>
    <row r="27" ht="15.75" customHeight="1">
      <c r="A27" s="20" t="s">
        <v>217</v>
      </c>
      <c r="B27" s="20"/>
      <c r="C27" s="21"/>
      <c r="D27" s="21"/>
      <c r="E27" s="21"/>
      <c r="F27" s="21"/>
      <c r="G27" s="21"/>
      <c r="H27" s="21"/>
      <c r="I27" s="21"/>
      <c r="J27" s="22"/>
      <c r="K27" s="48" t="s">
        <v>218</v>
      </c>
      <c r="L27" s="23"/>
      <c r="M27" s="23"/>
      <c r="N27" s="23"/>
      <c r="O27" s="21" t="s">
        <v>164</v>
      </c>
      <c r="P27" s="35"/>
      <c r="Q27" s="24" t="str">
        <f t="shared" si="1"/>
        <v>fine-grained, banded, white marble</v>
      </c>
      <c r="R27" s="20" t="s">
        <v>180</v>
      </c>
      <c r="S27" s="20" t="s">
        <v>189</v>
      </c>
      <c r="T27" s="20" t="s">
        <v>182</v>
      </c>
      <c r="U27" s="20" t="s">
        <v>181</v>
      </c>
      <c r="V27" s="20" t="s">
        <v>190</v>
      </c>
      <c r="W27" s="20" t="s">
        <v>166</v>
      </c>
      <c r="X27" s="20">
        <v>1.2</v>
      </c>
      <c r="Y27" s="20" t="s">
        <v>219</v>
      </c>
      <c r="Z27" s="20" t="s">
        <v>198</v>
      </c>
      <c r="AA27" s="25"/>
      <c r="AB27" s="49" t="s">
        <v>166</v>
      </c>
      <c r="AC27" s="49">
        <v>1.3</v>
      </c>
      <c r="AD27" s="57" t="s">
        <v>191</v>
      </c>
      <c r="AE27" s="26" t="s">
        <v>220</v>
      </c>
      <c r="AF27" s="25" t="s">
        <v>164</v>
      </c>
      <c r="AG27" s="25" t="s">
        <v>164</v>
      </c>
      <c r="AH27" s="25" t="s">
        <v>164</v>
      </c>
      <c r="AI27" s="25" t="s">
        <v>164</v>
      </c>
      <c r="AJ27" s="25" t="s">
        <v>164</v>
      </c>
      <c r="AK27" s="49" t="s">
        <v>166</v>
      </c>
      <c r="AL27" s="25" t="s">
        <v>164</v>
      </c>
      <c r="AM27" s="22"/>
      <c r="AN27" s="22"/>
      <c r="AO27" s="43">
        <f t="shared" si="3"/>
        <v>0</v>
      </c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 t="s">
        <v>164</v>
      </c>
      <c r="BF27" s="22" t="s">
        <v>164</v>
      </c>
      <c r="BG27" s="22" t="s">
        <v>164</v>
      </c>
      <c r="BH27" s="22" t="s">
        <v>164</v>
      </c>
      <c r="BI27" s="22"/>
      <c r="BJ27" s="22" t="s">
        <v>164</v>
      </c>
      <c r="BK27" s="22"/>
      <c r="BL27" s="22" t="s">
        <v>164</v>
      </c>
      <c r="BM27" s="22"/>
      <c r="BN27" s="22" t="s">
        <v>164</v>
      </c>
      <c r="BO27" s="22"/>
      <c r="BP27" s="22"/>
      <c r="BQ27" s="22"/>
      <c r="BR27" s="22" t="s">
        <v>164</v>
      </c>
      <c r="BS27" s="22"/>
      <c r="BT27" s="22" t="s">
        <v>164</v>
      </c>
      <c r="BU27" s="22"/>
      <c r="BV27" s="22"/>
      <c r="BW27" s="22"/>
      <c r="BX27" s="22" t="s">
        <v>164</v>
      </c>
      <c r="BY27" s="22"/>
      <c r="BZ27" s="22" t="s">
        <v>164</v>
      </c>
      <c r="CA27" s="22"/>
      <c r="CB27" s="22" t="s">
        <v>164</v>
      </c>
      <c r="CC27" s="22"/>
      <c r="CD27" s="22" t="s">
        <v>164</v>
      </c>
      <c r="CE27" s="25" t="s">
        <v>164</v>
      </c>
      <c r="CF27" s="25" t="s">
        <v>164</v>
      </c>
      <c r="CG27" s="25" t="s">
        <v>164</v>
      </c>
      <c r="CH27" s="25" t="s">
        <v>164</v>
      </c>
      <c r="CI27" s="25" t="s">
        <v>164</v>
      </c>
      <c r="CJ27" s="25" t="s">
        <v>164</v>
      </c>
      <c r="CK27" s="25" t="s">
        <v>164</v>
      </c>
      <c r="CL27" s="25" t="s">
        <v>164</v>
      </c>
      <c r="CM27" s="25" t="s">
        <v>164</v>
      </c>
      <c r="CN27" s="25" t="s">
        <v>164</v>
      </c>
      <c r="CO27" s="25" t="s">
        <v>164</v>
      </c>
      <c r="CP27" s="25" t="s">
        <v>164</v>
      </c>
      <c r="CQ27" s="25" t="s">
        <v>164</v>
      </c>
      <c r="CR27" s="25" t="s">
        <v>164</v>
      </c>
      <c r="CS27" s="25" t="s">
        <v>164</v>
      </c>
      <c r="CT27" s="25" t="s">
        <v>164</v>
      </c>
      <c r="CU27" s="25" t="s">
        <v>164</v>
      </c>
      <c r="CV27" s="25" t="s">
        <v>164</v>
      </c>
      <c r="CW27" s="37" t="s">
        <v>166</v>
      </c>
      <c r="CX27" s="38">
        <v>2.99</v>
      </c>
      <c r="CY27" s="38">
        <v>-2.31</v>
      </c>
      <c r="CZ27" s="50" t="s">
        <v>166</v>
      </c>
      <c r="DA27" s="33" t="s">
        <v>164</v>
      </c>
      <c r="DB27" s="33" t="s">
        <v>164</v>
      </c>
      <c r="DC27" s="33" t="s">
        <v>164</v>
      </c>
      <c r="DD27" s="33" t="s">
        <v>164</v>
      </c>
      <c r="DE27" s="33" t="s">
        <v>164</v>
      </c>
      <c r="DF27" s="33" t="s">
        <v>164</v>
      </c>
      <c r="DG27" s="33" t="s">
        <v>164</v>
      </c>
      <c r="DH27" s="33" t="s">
        <v>164</v>
      </c>
      <c r="DI27" s="33" t="s">
        <v>164</v>
      </c>
      <c r="DJ27" s="49" t="s">
        <v>166</v>
      </c>
      <c r="DK27" s="52">
        <v>0.26</v>
      </c>
      <c r="DL27" s="52">
        <v>2.97</v>
      </c>
      <c r="DM27" s="52">
        <v>19.24</v>
      </c>
      <c r="DN27" s="52">
        <v>1710.96</v>
      </c>
      <c r="DO27" s="52">
        <v>0.104541642</v>
      </c>
      <c r="DP27" s="52">
        <v>10.72</v>
      </c>
      <c r="DQ27" s="52">
        <v>0.83</v>
      </c>
      <c r="DR27" s="52">
        <v>3.43</v>
      </c>
      <c r="DS27" s="52">
        <v>1.45</v>
      </c>
      <c r="DT27" s="52">
        <v>4.35</v>
      </c>
      <c r="DU27" s="52">
        <v>209.75</v>
      </c>
      <c r="DV27" s="52">
        <v>0.22</v>
      </c>
      <c r="DW27" s="52">
        <v>3.5</v>
      </c>
      <c r="DX27" s="52">
        <v>1.03</v>
      </c>
      <c r="DY27" s="52">
        <v>6.43</v>
      </c>
      <c r="DZ27" s="52">
        <v>0.07</v>
      </c>
      <c r="EA27" s="52">
        <v>0.3</v>
      </c>
      <c r="EB27" s="52">
        <v>0.13</v>
      </c>
      <c r="EC27" s="52">
        <v>112.45</v>
      </c>
      <c r="ED27" s="52">
        <v>4.59</v>
      </c>
      <c r="EE27" s="52">
        <v>0.6</v>
      </c>
      <c r="EF27" s="52">
        <v>0.04</v>
      </c>
      <c r="EG27" s="52">
        <v>0.07</v>
      </c>
      <c r="EH27" s="52">
        <v>0.56</v>
      </c>
      <c r="EI27" s="52">
        <v>0.32</v>
      </c>
      <c r="EJ27" s="52">
        <v>0.04</v>
      </c>
      <c r="EK27" s="52">
        <v>1.42</v>
      </c>
      <c r="EL27" s="52">
        <v>1.8</v>
      </c>
      <c r="EM27" s="52">
        <v>0.44</v>
      </c>
      <c r="EN27" s="52">
        <v>0.8</v>
      </c>
      <c r="EO27" s="52">
        <v>0.13</v>
      </c>
      <c r="EP27" s="52">
        <v>0.03</v>
      </c>
      <c r="EQ27" s="52">
        <v>0.13</v>
      </c>
      <c r="ER27" s="52">
        <v>0.3</v>
      </c>
      <c r="ES27" s="52">
        <v>0.28</v>
      </c>
      <c r="ET27" s="52">
        <v>0.109429645</v>
      </c>
      <c r="EU27" s="52">
        <v>0.02</v>
      </c>
      <c r="EV27" s="52">
        <v>10.35</v>
      </c>
      <c r="EW27" s="52">
        <v>2.23</v>
      </c>
      <c r="EX27" s="52">
        <v>8.91</v>
      </c>
      <c r="EY27" s="52">
        <v>0.03</v>
      </c>
      <c r="EZ27" s="40"/>
      <c r="FA27" s="40"/>
      <c r="FB27" s="40"/>
      <c r="FC27" s="40"/>
      <c r="FD27" s="40"/>
      <c r="FE27" s="40"/>
      <c r="FF27" s="40"/>
      <c r="FG27" s="40"/>
      <c r="FH27" s="40"/>
      <c r="FI27" s="40"/>
      <c r="FJ27" s="40"/>
      <c r="FK27" s="40"/>
      <c r="FL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40"/>
    </row>
    <row r="28" ht="15.0" customHeight="1">
      <c r="A28" s="20" t="s">
        <v>221</v>
      </c>
      <c r="B28" s="20"/>
      <c r="C28" s="21"/>
      <c r="D28" s="21"/>
      <c r="E28" s="21"/>
      <c r="F28" s="21"/>
      <c r="G28" s="21"/>
      <c r="H28" s="21"/>
      <c r="I28" s="21"/>
      <c r="J28" s="22"/>
      <c r="K28" s="23"/>
      <c r="L28" s="23"/>
      <c r="M28" s="23"/>
      <c r="N28" s="23"/>
      <c r="O28" s="21" t="s">
        <v>164</v>
      </c>
      <c r="P28" s="35"/>
      <c r="Q28" s="24" t="str">
        <f t="shared" si="1"/>
        <v>coarse-grained, homogeneous, grey marble</v>
      </c>
      <c r="R28" s="22" t="s">
        <v>222</v>
      </c>
      <c r="S28" s="22" t="s">
        <v>181</v>
      </c>
      <c r="T28" s="24" t="s">
        <v>194</v>
      </c>
      <c r="U28" s="22" t="s">
        <v>195</v>
      </c>
      <c r="V28" s="22" t="s">
        <v>166</v>
      </c>
      <c r="W28" s="20" t="s">
        <v>166</v>
      </c>
      <c r="X28" s="22">
        <v>2.0</v>
      </c>
      <c r="Y28" s="22" t="s">
        <v>183</v>
      </c>
      <c r="Z28" s="22" t="s">
        <v>184</v>
      </c>
      <c r="AA28" s="43"/>
      <c r="AB28" s="64" t="s">
        <v>166</v>
      </c>
      <c r="AC28" s="65" t="s">
        <v>223</v>
      </c>
      <c r="AD28" s="22" t="s">
        <v>183</v>
      </c>
      <c r="AE28" s="66" t="s">
        <v>198</v>
      </c>
      <c r="AF28" s="67" t="s">
        <v>164</v>
      </c>
      <c r="AG28" s="67" t="s">
        <v>164</v>
      </c>
      <c r="AH28" s="67" t="s">
        <v>164</v>
      </c>
      <c r="AI28" s="67" t="s">
        <v>164</v>
      </c>
      <c r="AJ28" s="67" t="s">
        <v>164</v>
      </c>
      <c r="AK28" s="67" t="s">
        <v>166</v>
      </c>
      <c r="AL28" s="67" t="s">
        <v>164</v>
      </c>
      <c r="AM28" s="22"/>
      <c r="AN28" s="22"/>
      <c r="AO28" s="43">
        <f t="shared" si="3"/>
        <v>0</v>
      </c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 t="s">
        <v>164</v>
      </c>
      <c r="BF28" s="22" t="s">
        <v>164</v>
      </c>
      <c r="BG28" s="22" t="s">
        <v>164</v>
      </c>
      <c r="BH28" s="22" t="s">
        <v>164</v>
      </c>
      <c r="BI28" s="22"/>
      <c r="BJ28" s="22"/>
      <c r="BK28" s="22"/>
      <c r="BL28" s="22" t="s">
        <v>164</v>
      </c>
      <c r="BM28" s="22"/>
      <c r="BN28" s="22" t="s">
        <v>164</v>
      </c>
      <c r="BO28" s="22"/>
      <c r="BP28" s="22"/>
      <c r="BQ28" s="22"/>
      <c r="BR28" s="22" t="s">
        <v>164</v>
      </c>
      <c r="BS28" s="22"/>
      <c r="BT28" s="22" t="s">
        <v>164</v>
      </c>
      <c r="BU28" s="22"/>
      <c r="BV28" s="22"/>
      <c r="BW28" s="22"/>
      <c r="BX28" s="22" t="s">
        <v>164</v>
      </c>
      <c r="BY28" s="22"/>
      <c r="BZ28" s="22" t="s">
        <v>164</v>
      </c>
      <c r="CA28" s="22"/>
      <c r="CB28" s="22" t="s">
        <v>164</v>
      </c>
      <c r="CC28" s="22"/>
      <c r="CD28" s="22" t="s">
        <v>164</v>
      </c>
      <c r="CE28" s="67" t="s">
        <v>164</v>
      </c>
      <c r="CF28" s="67" t="s">
        <v>164</v>
      </c>
      <c r="CG28" s="67" t="s">
        <v>164</v>
      </c>
      <c r="CH28" s="67" t="s">
        <v>164</v>
      </c>
      <c r="CI28" s="67" t="s">
        <v>164</v>
      </c>
      <c r="CJ28" s="67" t="s">
        <v>164</v>
      </c>
      <c r="CK28" s="67" t="s">
        <v>164</v>
      </c>
      <c r="CL28" s="67" t="s">
        <v>164</v>
      </c>
      <c r="CM28" s="67" t="s">
        <v>164</v>
      </c>
      <c r="CN28" s="67" t="s">
        <v>164</v>
      </c>
      <c r="CO28" s="67" t="s">
        <v>164</v>
      </c>
      <c r="CP28" s="67" t="s">
        <v>164</v>
      </c>
      <c r="CQ28" s="67" t="s">
        <v>164</v>
      </c>
      <c r="CR28" s="67" t="s">
        <v>164</v>
      </c>
      <c r="CS28" s="67" t="s">
        <v>164</v>
      </c>
      <c r="CT28" s="67" t="s">
        <v>166</v>
      </c>
      <c r="CU28" s="67" t="s">
        <v>164</v>
      </c>
      <c r="CV28" s="25" t="s">
        <v>164</v>
      </c>
      <c r="CW28" s="37" t="s">
        <v>166</v>
      </c>
      <c r="CX28" s="38">
        <v>3.71</v>
      </c>
      <c r="CY28" s="38">
        <v>-1.49</v>
      </c>
      <c r="CZ28" s="33"/>
      <c r="DA28" s="33" t="s">
        <v>164</v>
      </c>
      <c r="DB28" s="33" t="s">
        <v>164</v>
      </c>
      <c r="DC28" s="33" t="s">
        <v>164</v>
      </c>
      <c r="DD28" s="33" t="s">
        <v>164</v>
      </c>
      <c r="DE28" s="33" t="s">
        <v>164</v>
      </c>
      <c r="DF28" s="33" t="s">
        <v>164</v>
      </c>
      <c r="DG28" s="33" t="s">
        <v>164</v>
      </c>
      <c r="DH28" s="33" t="s">
        <v>164</v>
      </c>
      <c r="DI28" s="33" t="s">
        <v>164</v>
      </c>
      <c r="DJ28" s="25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40"/>
      <c r="FB28" s="40"/>
      <c r="FC28" s="40"/>
      <c r="FD28" s="40"/>
      <c r="FE28" s="40"/>
      <c r="FF28" s="40"/>
      <c r="FG28" s="40"/>
      <c r="FH28" s="40"/>
      <c r="FI28" s="40"/>
      <c r="FJ28" s="40"/>
      <c r="FK28" s="40"/>
      <c r="FL28" s="40"/>
      <c r="FM28" s="40"/>
      <c r="FN28" s="40"/>
      <c r="FO28" s="40"/>
      <c r="FP28" s="40"/>
      <c r="FQ28" s="40"/>
      <c r="FR28" s="40"/>
      <c r="FS28" s="40"/>
      <c r="FT28" s="40"/>
      <c r="FU28" s="40"/>
      <c r="FV28" s="40"/>
      <c r="FW28" s="40"/>
      <c r="FX28" s="40"/>
      <c r="FY28" s="40"/>
      <c r="FZ28" s="40"/>
      <c r="GA28" s="40"/>
    </row>
    <row r="29" ht="15.75" customHeight="1">
      <c r="A29" s="20" t="s">
        <v>224</v>
      </c>
      <c r="B29" s="20"/>
      <c r="C29" s="21"/>
      <c r="D29" s="21"/>
      <c r="E29" s="21"/>
      <c r="F29" s="21"/>
      <c r="G29" s="21"/>
      <c r="H29" s="21"/>
      <c r="I29" s="21"/>
      <c r="J29" s="22"/>
      <c r="K29" s="48" t="s">
        <v>225</v>
      </c>
      <c r="L29" s="23"/>
      <c r="M29" s="23"/>
      <c r="N29" s="23"/>
      <c r="O29" s="68" t="s">
        <v>164</v>
      </c>
      <c r="P29" s="35"/>
      <c r="Q29" s="24" t="str">
        <f t="shared" si="1"/>
        <v>very fine-grained, homogeneous, white/whitish marble</v>
      </c>
      <c r="R29" s="22" t="s">
        <v>188</v>
      </c>
      <c r="S29" s="69" t="s">
        <v>226</v>
      </c>
      <c r="T29" s="24" t="s">
        <v>194</v>
      </c>
      <c r="U29" s="22" t="s">
        <v>195</v>
      </c>
      <c r="V29" s="67" t="s">
        <v>190</v>
      </c>
      <c r="W29" s="20" t="s">
        <v>166</v>
      </c>
      <c r="X29" s="70">
        <v>0.6</v>
      </c>
      <c r="Y29" s="70" t="s">
        <v>196</v>
      </c>
      <c r="Z29" s="70" t="s">
        <v>207</v>
      </c>
      <c r="AA29" s="43"/>
      <c r="AB29" s="64" t="s">
        <v>166</v>
      </c>
      <c r="AC29" s="65" t="s">
        <v>227</v>
      </c>
      <c r="AD29" s="22" t="s">
        <v>196</v>
      </c>
      <c r="AE29" s="66" t="s">
        <v>228</v>
      </c>
      <c r="AF29" s="67" t="s">
        <v>166</v>
      </c>
      <c r="AG29" s="67" t="s">
        <v>166</v>
      </c>
      <c r="AH29" s="67" t="s">
        <v>164</v>
      </c>
      <c r="AI29" s="67" t="s">
        <v>164</v>
      </c>
      <c r="AJ29" s="67" t="s">
        <v>164</v>
      </c>
      <c r="AK29" s="67" t="s">
        <v>164</v>
      </c>
      <c r="AL29" s="67" t="s">
        <v>164</v>
      </c>
      <c r="AM29" s="43"/>
      <c r="AN29" s="43"/>
      <c r="AO29" s="43">
        <f t="shared" si="3"/>
        <v>0</v>
      </c>
      <c r="AP29" s="43"/>
      <c r="AQ29" s="67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65" t="s">
        <v>229</v>
      </c>
      <c r="BF29" s="43" t="s">
        <v>164</v>
      </c>
      <c r="BG29" s="65" t="s">
        <v>230</v>
      </c>
      <c r="BH29" s="67" t="s">
        <v>164</v>
      </c>
      <c r="BI29" s="43"/>
      <c r="BJ29" s="43"/>
      <c r="BK29" s="43"/>
      <c r="BL29" s="43" t="s">
        <v>164</v>
      </c>
      <c r="BM29" s="43"/>
      <c r="BN29" s="43" t="s">
        <v>164</v>
      </c>
      <c r="BO29" s="43"/>
      <c r="BP29" s="43"/>
      <c r="BQ29" s="43"/>
      <c r="BR29" s="43" t="s">
        <v>164</v>
      </c>
      <c r="BS29" s="43"/>
      <c r="BT29" s="43" t="s">
        <v>164</v>
      </c>
      <c r="BU29" s="43"/>
      <c r="BV29" s="43"/>
      <c r="BW29" s="43"/>
      <c r="BX29" s="43" t="s">
        <v>164</v>
      </c>
      <c r="BY29" s="43"/>
      <c r="BZ29" s="43" t="s">
        <v>164</v>
      </c>
      <c r="CA29" s="43"/>
      <c r="CB29" s="43" t="s">
        <v>164</v>
      </c>
      <c r="CC29" s="43"/>
      <c r="CD29" s="43" t="s">
        <v>164</v>
      </c>
      <c r="CE29" s="67" t="s">
        <v>164</v>
      </c>
      <c r="CF29" s="67" t="s">
        <v>164</v>
      </c>
      <c r="CG29" s="67" t="s">
        <v>164</v>
      </c>
      <c r="CH29" s="67" t="s">
        <v>164</v>
      </c>
      <c r="CI29" s="67" t="s">
        <v>164</v>
      </c>
      <c r="CJ29" s="67" t="s">
        <v>164</v>
      </c>
      <c r="CK29" s="67" t="s">
        <v>164</v>
      </c>
      <c r="CL29" s="67" t="s">
        <v>164</v>
      </c>
      <c r="CM29" s="67" t="s">
        <v>164</v>
      </c>
      <c r="CN29" s="67" t="s">
        <v>164</v>
      </c>
      <c r="CO29" s="67" t="s">
        <v>164</v>
      </c>
      <c r="CP29" s="67" t="s">
        <v>164</v>
      </c>
      <c r="CQ29" s="67" t="s">
        <v>164</v>
      </c>
      <c r="CR29" s="67" t="s">
        <v>164</v>
      </c>
      <c r="CS29" s="67" t="s">
        <v>164</v>
      </c>
      <c r="CT29" s="67" t="s">
        <v>164</v>
      </c>
      <c r="CU29" s="67" t="s">
        <v>164</v>
      </c>
      <c r="CV29" s="25" t="s">
        <v>164</v>
      </c>
      <c r="CW29" s="37" t="s">
        <v>166</v>
      </c>
      <c r="CX29" s="71">
        <v>1.92</v>
      </c>
      <c r="CY29" s="71">
        <v>-2.29</v>
      </c>
      <c r="CZ29" s="50" t="s">
        <v>166</v>
      </c>
      <c r="DA29" s="33" t="s">
        <v>164</v>
      </c>
      <c r="DB29" s="33" t="s">
        <v>164</v>
      </c>
      <c r="DC29" s="33" t="s">
        <v>164</v>
      </c>
      <c r="DD29" s="33" t="s">
        <v>164</v>
      </c>
      <c r="DE29" s="33" t="s">
        <v>164</v>
      </c>
      <c r="DF29" s="33" t="s">
        <v>164</v>
      </c>
      <c r="DG29" s="33" t="s">
        <v>164</v>
      </c>
      <c r="DH29" s="33" t="s">
        <v>164</v>
      </c>
      <c r="DI29" s="33" t="s">
        <v>164</v>
      </c>
      <c r="DJ29" s="49" t="s">
        <v>166</v>
      </c>
      <c r="DK29" s="52">
        <v>1.09</v>
      </c>
      <c r="DL29" s="52">
        <v>7.5</v>
      </c>
      <c r="DM29" s="52">
        <v>45.58</v>
      </c>
      <c r="DN29" s="52">
        <v>4899.4</v>
      </c>
      <c r="DO29" s="52">
        <v>0.129834596</v>
      </c>
      <c r="DP29" s="52">
        <v>21.02</v>
      </c>
      <c r="DQ29" s="52">
        <v>1.65</v>
      </c>
      <c r="DR29" s="52">
        <v>4.64</v>
      </c>
      <c r="DS29" s="52">
        <v>2.59</v>
      </c>
      <c r="DT29" s="52">
        <v>142.81</v>
      </c>
      <c r="DU29" s="52">
        <v>343.76</v>
      </c>
      <c r="DV29" s="52">
        <v>0.27</v>
      </c>
      <c r="DW29" s="52">
        <v>4.14</v>
      </c>
      <c r="DX29" s="52">
        <v>2.7</v>
      </c>
      <c r="DY29" s="52">
        <v>26.29</v>
      </c>
      <c r="DZ29" s="52">
        <v>0.25</v>
      </c>
      <c r="EA29" s="52">
        <v>0.32</v>
      </c>
      <c r="EB29" s="52">
        <v>0.67</v>
      </c>
      <c r="EC29" s="52">
        <v>197.38</v>
      </c>
      <c r="ED29" s="52">
        <v>1.53</v>
      </c>
      <c r="EE29" s="52">
        <v>0.56</v>
      </c>
      <c r="EF29" s="52">
        <v>0.1</v>
      </c>
      <c r="EG29" s="52">
        <v>0.01</v>
      </c>
      <c r="EH29" s="52">
        <v>0.47</v>
      </c>
      <c r="EI29" s="52">
        <v>0.16</v>
      </c>
      <c r="EJ29" s="52">
        <v>0.04</v>
      </c>
      <c r="EK29" s="52">
        <v>8.36</v>
      </c>
      <c r="EL29" s="52">
        <v>0.71</v>
      </c>
      <c r="EM29" s="52">
        <v>0.6</v>
      </c>
      <c r="EN29" s="52">
        <v>0.48</v>
      </c>
      <c r="EO29" s="52">
        <v>0.1</v>
      </c>
      <c r="EP29" s="52">
        <v>0.02</v>
      </c>
      <c r="EQ29" s="52">
        <v>0.12</v>
      </c>
      <c r="ER29" s="52">
        <v>0.15</v>
      </c>
      <c r="ES29" s="52">
        <v>0.11</v>
      </c>
      <c r="ET29" s="52">
        <v>0.033387864</v>
      </c>
      <c r="EU29" s="52">
        <v>0.02</v>
      </c>
      <c r="EV29" s="52">
        <v>4.19</v>
      </c>
      <c r="EW29" s="52">
        <v>10.04</v>
      </c>
      <c r="EX29" s="52">
        <v>40.11</v>
      </c>
      <c r="EY29" s="52">
        <v>0.04</v>
      </c>
      <c r="EZ29" s="40"/>
      <c r="FA29" s="33"/>
      <c r="FB29" s="33"/>
      <c r="FC29" s="33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33"/>
      <c r="FO29" s="33"/>
      <c r="FP29" s="33"/>
      <c r="FQ29" s="33"/>
      <c r="FR29" s="33"/>
      <c r="FS29" s="33"/>
      <c r="FT29" s="33"/>
      <c r="FU29" s="33"/>
      <c r="FV29" s="33"/>
      <c r="FW29" s="33"/>
      <c r="FX29" s="33"/>
      <c r="FY29" s="33"/>
      <c r="FZ29" s="33"/>
      <c r="GA29" s="33"/>
    </row>
    <row r="30" ht="15.75" customHeight="1">
      <c r="A30" s="20" t="s">
        <v>231</v>
      </c>
      <c r="B30" s="20"/>
      <c r="C30" s="21"/>
      <c r="D30" s="21"/>
      <c r="E30" s="21"/>
      <c r="F30" s="21"/>
      <c r="G30" s="21"/>
      <c r="H30" s="21"/>
      <c r="I30" s="21"/>
      <c r="J30" s="22"/>
      <c r="K30" s="72"/>
      <c r="L30" s="72"/>
      <c r="M30" s="72"/>
      <c r="N30" s="72"/>
      <c r="O30" s="21"/>
      <c r="P30" s="35"/>
      <c r="Q30" s="24" t="str">
        <f t="shared" si="1"/>
        <v>medium-grained, homogeneous, white marble</v>
      </c>
      <c r="R30" s="22" t="s">
        <v>205</v>
      </c>
      <c r="S30" s="22" t="s">
        <v>189</v>
      </c>
      <c r="T30" s="24" t="s">
        <v>194</v>
      </c>
      <c r="U30" s="22" t="s">
        <v>195</v>
      </c>
      <c r="V30" s="22" t="s">
        <v>219</v>
      </c>
      <c r="W30" s="20" t="s">
        <v>166</v>
      </c>
      <c r="X30" s="22">
        <v>1.6</v>
      </c>
      <c r="Y30" s="22" t="s">
        <v>183</v>
      </c>
      <c r="Z30" s="22" t="s">
        <v>198</v>
      </c>
      <c r="AA30" s="43"/>
      <c r="AB30" s="43"/>
      <c r="AC30" s="43"/>
      <c r="AD30" s="22"/>
      <c r="AE30" s="73"/>
      <c r="AF30" s="67"/>
      <c r="AG30" s="67"/>
      <c r="AH30" s="67"/>
      <c r="AI30" s="67"/>
      <c r="AJ30" s="67"/>
      <c r="AK30" s="67"/>
      <c r="AL30" s="67"/>
      <c r="AM30" s="22"/>
      <c r="AN30" s="22"/>
      <c r="AO30" s="43">
        <f t="shared" si="3"/>
        <v>0</v>
      </c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25" t="s">
        <v>164</v>
      </c>
      <c r="CW30" s="46"/>
      <c r="CX30" s="54"/>
      <c r="CY30" s="54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25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40"/>
      <c r="FB30" s="40"/>
      <c r="FC30" s="40"/>
      <c r="FD30" s="40"/>
      <c r="FE30" s="40"/>
      <c r="FF30" s="40"/>
      <c r="FG30" s="40"/>
      <c r="FH30" s="40"/>
      <c r="FI30" s="40"/>
      <c r="FJ30" s="40"/>
      <c r="FK30" s="40"/>
      <c r="FL30" s="40"/>
      <c r="FM30" s="40"/>
      <c r="FN30" s="40"/>
      <c r="FO30" s="40"/>
      <c r="FP30" s="40"/>
      <c r="FQ30" s="40"/>
      <c r="FR30" s="40"/>
      <c r="FS30" s="40"/>
      <c r="FT30" s="40"/>
      <c r="FU30" s="40"/>
      <c r="FV30" s="40"/>
      <c r="FW30" s="40"/>
      <c r="FX30" s="40"/>
      <c r="FY30" s="40"/>
      <c r="FZ30" s="40"/>
      <c r="GA30" s="40"/>
    </row>
    <row r="31" ht="15.75" customHeight="1">
      <c r="A31" s="20" t="s">
        <v>232</v>
      </c>
      <c r="B31" s="20"/>
      <c r="C31" s="21"/>
      <c r="D31" s="21"/>
      <c r="E31" s="21"/>
      <c r="F31" s="21"/>
      <c r="G31" s="21"/>
      <c r="H31" s="21"/>
      <c r="I31" s="21"/>
      <c r="J31" s="22"/>
      <c r="K31" s="48" t="s">
        <v>218</v>
      </c>
      <c r="L31" s="23"/>
      <c r="M31" s="62"/>
      <c r="N31" s="23"/>
      <c r="O31" s="21" t="s">
        <v>164</v>
      </c>
      <c r="P31" s="35"/>
      <c r="Q31" s="24" t="str">
        <f t="shared" si="1"/>
        <v>fine-grained, veined, white marble</v>
      </c>
      <c r="R31" s="22" t="s">
        <v>180</v>
      </c>
      <c r="S31" s="22" t="s">
        <v>189</v>
      </c>
      <c r="T31" s="22" t="s">
        <v>206</v>
      </c>
      <c r="U31" s="22" t="s">
        <v>233</v>
      </c>
      <c r="V31" s="22" t="s">
        <v>166</v>
      </c>
      <c r="W31" s="20" t="s">
        <v>166</v>
      </c>
      <c r="X31" s="22">
        <v>2.2</v>
      </c>
      <c r="Y31" s="22" t="s">
        <v>183</v>
      </c>
      <c r="Z31" s="22" t="s">
        <v>198</v>
      </c>
      <c r="AA31" s="25"/>
      <c r="AB31" s="49" t="s">
        <v>166</v>
      </c>
      <c r="AC31" s="25">
        <v>0.8</v>
      </c>
      <c r="AD31" s="58" t="s">
        <v>183</v>
      </c>
      <c r="AE31" s="26" t="s">
        <v>220</v>
      </c>
      <c r="AF31" s="25" t="s">
        <v>164</v>
      </c>
      <c r="AG31" s="25" t="s">
        <v>166</v>
      </c>
      <c r="AH31" s="25" t="s">
        <v>164</v>
      </c>
      <c r="AI31" s="25" t="s">
        <v>166</v>
      </c>
      <c r="AJ31" s="25" t="s">
        <v>164</v>
      </c>
      <c r="AK31" s="25" t="s">
        <v>166</v>
      </c>
      <c r="AL31" s="25" t="s">
        <v>166</v>
      </c>
      <c r="AM31" s="44"/>
      <c r="AN31" s="20" t="s">
        <v>234</v>
      </c>
      <c r="AO31" s="43">
        <f t="shared" si="3"/>
        <v>0</v>
      </c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 t="s">
        <v>164</v>
      </c>
      <c r="BF31" s="22" t="s">
        <v>164</v>
      </c>
      <c r="BG31" s="22" t="s">
        <v>164</v>
      </c>
      <c r="BH31" s="22" t="s">
        <v>164</v>
      </c>
      <c r="BI31" s="22"/>
      <c r="BJ31" s="22" t="s">
        <v>164</v>
      </c>
      <c r="BK31" s="22"/>
      <c r="BL31" s="22" t="s">
        <v>164</v>
      </c>
      <c r="BM31" s="22"/>
      <c r="BN31" s="22" t="s">
        <v>164</v>
      </c>
      <c r="BO31" s="22"/>
      <c r="BP31" s="22"/>
      <c r="BQ31" s="22"/>
      <c r="BR31" s="22" t="s">
        <v>164</v>
      </c>
      <c r="BS31" s="22"/>
      <c r="BT31" s="22" t="s">
        <v>164</v>
      </c>
      <c r="BU31" s="22"/>
      <c r="BV31" s="22"/>
      <c r="BW31" s="22"/>
      <c r="BX31" s="22" t="s">
        <v>164</v>
      </c>
      <c r="BY31" s="22"/>
      <c r="BZ31" s="22" t="s">
        <v>164</v>
      </c>
      <c r="CA31" s="22"/>
      <c r="CB31" s="22" t="s">
        <v>164</v>
      </c>
      <c r="CC31" s="22"/>
      <c r="CD31" s="22" t="s">
        <v>164</v>
      </c>
      <c r="CE31" s="25" t="s">
        <v>164</v>
      </c>
      <c r="CF31" s="25" t="s">
        <v>164</v>
      </c>
      <c r="CG31" s="25" t="s">
        <v>164</v>
      </c>
      <c r="CH31" s="25" t="s">
        <v>164</v>
      </c>
      <c r="CI31" s="25" t="s">
        <v>164</v>
      </c>
      <c r="CJ31" s="25" t="s">
        <v>164</v>
      </c>
      <c r="CK31" s="25" t="s">
        <v>164</v>
      </c>
      <c r="CL31" s="25" t="s">
        <v>164</v>
      </c>
      <c r="CM31" s="25" t="s">
        <v>164</v>
      </c>
      <c r="CN31" s="25" t="s">
        <v>166</v>
      </c>
      <c r="CO31" s="25" t="s">
        <v>164</v>
      </c>
      <c r="CP31" s="25" t="s">
        <v>164</v>
      </c>
      <c r="CQ31" s="25" t="s">
        <v>164</v>
      </c>
      <c r="CR31" s="25" t="s">
        <v>164</v>
      </c>
      <c r="CS31" s="25" t="s">
        <v>164</v>
      </c>
      <c r="CT31" s="25" t="s">
        <v>164</v>
      </c>
      <c r="CU31" s="25" t="s">
        <v>164</v>
      </c>
      <c r="CV31" s="25" t="s">
        <v>164</v>
      </c>
      <c r="CW31" s="37" t="s">
        <v>166</v>
      </c>
      <c r="CX31" s="38">
        <v>2.95</v>
      </c>
      <c r="CY31" s="38">
        <v>-2.96</v>
      </c>
      <c r="CZ31" s="50" t="s">
        <v>166</v>
      </c>
      <c r="DA31" s="33" t="s">
        <v>164</v>
      </c>
      <c r="DB31" s="33" t="s">
        <v>164</v>
      </c>
      <c r="DC31" s="33" t="s">
        <v>164</v>
      </c>
      <c r="DD31" s="33" t="s">
        <v>164</v>
      </c>
      <c r="DE31" s="33" t="s">
        <v>164</v>
      </c>
      <c r="DF31" s="33" t="s">
        <v>164</v>
      </c>
      <c r="DG31" s="33" t="s">
        <v>164</v>
      </c>
      <c r="DH31" s="33" t="s">
        <v>164</v>
      </c>
      <c r="DI31" s="33" t="s">
        <v>164</v>
      </c>
      <c r="DJ31" s="49" t="s">
        <v>166</v>
      </c>
      <c r="DK31" s="52">
        <v>0.14</v>
      </c>
      <c r="DL31" s="52">
        <v>3.57</v>
      </c>
      <c r="DM31" s="52">
        <v>108.82</v>
      </c>
      <c r="DN31" s="52">
        <v>288.48</v>
      </c>
      <c r="DO31" s="52">
        <v>0.062742441</v>
      </c>
      <c r="DP31" s="52">
        <v>11.99</v>
      </c>
      <c r="DQ31" s="52">
        <v>0.46</v>
      </c>
      <c r="DR31" s="52">
        <v>3.75</v>
      </c>
      <c r="DS31" s="52">
        <v>1.11</v>
      </c>
      <c r="DT31" s="52">
        <v>4.56</v>
      </c>
      <c r="DU31" s="52">
        <v>132.96</v>
      </c>
      <c r="DV31" s="52">
        <v>0.17</v>
      </c>
      <c r="DW31" s="52">
        <v>3.71</v>
      </c>
      <c r="DX31" s="52">
        <v>1.99</v>
      </c>
      <c r="DY31" s="52">
        <v>4.98</v>
      </c>
      <c r="DZ31" s="52">
        <v>0.15</v>
      </c>
      <c r="EA31" s="52">
        <v>0.12</v>
      </c>
      <c r="EB31" s="52">
        <v>0.14</v>
      </c>
      <c r="EC31" s="52">
        <v>245.55</v>
      </c>
      <c r="ED31" s="52">
        <v>0.15</v>
      </c>
      <c r="EE31" s="52">
        <v>0.01</v>
      </c>
      <c r="EF31" s="52">
        <v>0.05</v>
      </c>
      <c r="EG31" s="52">
        <v>0.02</v>
      </c>
      <c r="EH31" s="52">
        <v>0.07</v>
      </c>
      <c r="EI31" s="52">
        <v>0.09</v>
      </c>
      <c r="EJ31" s="52">
        <v>0.02</v>
      </c>
      <c r="EK31" s="52">
        <v>2.83</v>
      </c>
      <c r="EL31" s="52">
        <v>0.19</v>
      </c>
      <c r="EM31" s="52">
        <v>0.22</v>
      </c>
      <c r="EN31" s="52">
        <v>0.14</v>
      </c>
      <c r="EO31" s="52">
        <v>0.03</v>
      </c>
      <c r="EP31" s="52">
        <v>0.01</v>
      </c>
      <c r="EQ31" s="52">
        <v>0.03</v>
      </c>
      <c r="ER31" s="52">
        <v>0.03</v>
      </c>
      <c r="ES31" s="52">
        <v>0.02</v>
      </c>
      <c r="ET31" s="52">
        <v>0.00604799</v>
      </c>
      <c r="EU31" s="52">
        <v>0.0</v>
      </c>
      <c r="EV31" s="52">
        <v>0.98</v>
      </c>
      <c r="EW31" s="52">
        <v>4.15</v>
      </c>
      <c r="EX31" s="52">
        <v>209.04</v>
      </c>
      <c r="EY31" s="52">
        <v>0.07</v>
      </c>
      <c r="EZ31" s="40"/>
    </row>
    <row r="32" ht="15.75" customHeight="1">
      <c r="A32" s="20" t="s">
        <v>235</v>
      </c>
      <c r="B32" s="20"/>
      <c r="C32" s="21"/>
      <c r="D32" s="21"/>
      <c r="E32" s="21"/>
      <c r="F32" s="21"/>
      <c r="G32" s="21"/>
      <c r="H32" s="21"/>
      <c r="I32" s="21"/>
      <c r="J32" s="22"/>
      <c r="K32" s="23"/>
      <c r="L32" s="23"/>
      <c r="M32" s="23"/>
      <c r="N32" s="23"/>
      <c r="O32" s="21"/>
      <c r="P32" s="35"/>
      <c r="Q32" s="24" t="str">
        <f t="shared" si="1"/>
        <v>fine-grained, homogeneous, white marble</v>
      </c>
      <c r="R32" s="22" t="s">
        <v>180</v>
      </c>
      <c r="S32" s="22" t="s">
        <v>189</v>
      </c>
      <c r="T32" s="24" t="s">
        <v>194</v>
      </c>
      <c r="U32" s="22" t="s">
        <v>195</v>
      </c>
      <c r="V32" s="22" t="s">
        <v>219</v>
      </c>
      <c r="W32" s="20" t="s">
        <v>166</v>
      </c>
      <c r="X32" s="22">
        <v>1.5</v>
      </c>
      <c r="Y32" s="22" t="s">
        <v>191</v>
      </c>
      <c r="Z32" s="22" t="s">
        <v>198</v>
      </c>
      <c r="AA32" s="44"/>
      <c r="AB32" s="44"/>
      <c r="AC32" s="44"/>
      <c r="AD32" s="44"/>
      <c r="AE32" s="45"/>
      <c r="AF32" s="44"/>
      <c r="AG32" s="44"/>
      <c r="AH32" s="44"/>
      <c r="AI32" s="44"/>
      <c r="AJ32" s="44"/>
      <c r="AK32" s="44"/>
      <c r="AL32" s="44"/>
      <c r="AM32" s="22"/>
      <c r="AN32" s="22"/>
      <c r="AO32" s="43">
        <f t="shared" si="3"/>
        <v>0</v>
      </c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4"/>
      <c r="CV32" s="25" t="s">
        <v>164</v>
      </c>
      <c r="CW32" s="46"/>
      <c r="CX32" s="47"/>
      <c r="CY32" s="47"/>
      <c r="DJ32" s="25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</row>
    <row r="33" ht="15.75" customHeight="1">
      <c r="A33" s="20" t="s">
        <v>236</v>
      </c>
      <c r="B33" s="20"/>
      <c r="C33" s="21"/>
      <c r="D33" s="21"/>
      <c r="E33" s="21"/>
      <c r="F33" s="21"/>
      <c r="G33" s="21"/>
      <c r="H33" s="21"/>
      <c r="I33" s="21"/>
      <c r="J33" s="22"/>
      <c r="K33" s="23"/>
      <c r="L33" s="23"/>
      <c r="M33" s="23"/>
      <c r="N33" s="23"/>
      <c r="O33" s="21"/>
      <c r="P33" s="35"/>
      <c r="Q33" s="24" t="str">
        <f t="shared" si="1"/>
        <v>medium-grained, homogeneous, white marble</v>
      </c>
      <c r="R33" s="22" t="s">
        <v>205</v>
      </c>
      <c r="S33" s="22" t="s">
        <v>189</v>
      </c>
      <c r="T33" s="24" t="s">
        <v>194</v>
      </c>
      <c r="U33" s="22" t="s">
        <v>195</v>
      </c>
      <c r="V33" s="22" t="s">
        <v>219</v>
      </c>
      <c r="W33" s="20" t="s">
        <v>166</v>
      </c>
      <c r="X33" s="22">
        <v>2.0</v>
      </c>
      <c r="Y33" s="20" t="s">
        <v>191</v>
      </c>
      <c r="Z33" s="22" t="s">
        <v>198</v>
      </c>
      <c r="AA33" s="25"/>
      <c r="AB33" s="25"/>
      <c r="AC33" s="25"/>
      <c r="AD33" s="58"/>
      <c r="AE33" s="53"/>
      <c r="AF33" s="25"/>
      <c r="AG33" s="25"/>
      <c r="AH33" s="25"/>
      <c r="AI33" s="25"/>
      <c r="AJ33" s="25"/>
      <c r="AK33" s="25"/>
      <c r="AL33" s="25"/>
      <c r="AM33" s="22"/>
      <c r="AN33" s="21"/>
      <c r="AO33" s="43">
        <f t="shared" si="3"/>
        <v>0</v>
      </c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 t="s">
        <v>164</v>
      </c>
      <c r="CW33" s="46"/>
      <c r="CX33" s="54"/>
      <c r="CY33" s="54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25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40"/>
      <c r="FB33" s="40"/>
      <c r="FC33" s="40"/>
      <c r="FD33" s="40"/>
      <c r="FE33" s="40"/>
      <c r="FF33" s="40"/>
      <c r="FG33" s="40"/>
      <c r="FH33" s="40"/>
      <c r="FI33" s="40"/>
      <c r="FJ33" s="40"/>
      <c r="FK33" s="40"/>
      <c r="FL33" s="40"/>
      <c r="FM33" s="40"/>
      <c r="FN33" s="40"/>
      <c r="FO33" s="40"/>
      <c r="FP33" s="40"/>
      <c r="FQ33" s="40"/>
      <c r="FR33" s="40"/>
      <c r="FS33" s="40"/>
      <c r="FT33" s="40"/>
      <c r="FU33" s="40"/>
      <c r="FV33" s="40"/>
      <c r="FW33" s="40"/>
      <c r="FX33" s="40"/>
      <c r="FY33" s="40"/>
      <c r="FZ33" s="40"/>
      <c r="GA33" s="40"/>
    </row>
    <row r="34" ht="15.75" customHeight="1">
      <c r="A34" s="20" t="s">
        <v>237</v>
      </c>
      <c r="B34" s="20"/>
      <c r="C34" s="21"/>
      <c r="D34" s="21"/>
      <c r="E34" s="21"/>
      <c r="F34" s="21"/>
      <c r="G34" s="21"/>
      <c r="H34" s="21"/>
      <c r="I34" s="21"/>
      <c r="J34" s="22"/>
      <c r="K34" s="62"/>
      <c r="L34" s="48" t="s">
        <v>238</v>
      </c>
      <c r="M34" s="23"/>
      <c r="N34" s="23"/>
      <c r="O34" s="21" t="s">
        <v>164</v>
      </c>
      <c r="P34" s="35"/>
      <c r="Q34" s="24" t="str">
        <f t="shared" si="1"/>
        <v>medium-grained, homogeneous, grey marble</v>
      </c>
      <c r="R34" s="22" t="s">
        <v>205</v>
      </c>
      <c r="S34" s="22" t="s">
        <v>181</v>
      </c>
      <c r="T34" s="24" t="s">
        <v>194</v>
      </c>
      <c r="U34" s="22" t="s">
        <v>195</v>
      </c>
      <c r="V34" s="22" t="s">
        <v>166</v>
      </c>
      <c r="W34" s="20" t="s">
        <v>166</v>
      </c>
      <c r="X34" s="22">
        <v>0.6</v>
      </c>
      <c r="Y34" s="22" t="s">
        <v>196</v>
      </c>
      <c r="Z34" s="20" t="s">
        <v>213</v>
      </c>
      <c r="AA34" s="25"/>
      <c r="AB34" s="49" t="s">
        <v>166</v>
      </c>
      <c r="AC34" s="49">
        <v>0.8</v>
      </c>
      <c r="AD34" s="58" t="s">
        <v>209</v>
      </c>
      <c r="AE34" s="26" t="s">
        <v>192</v>
      </c>
      <c r="AF34" s="25" t="s">
        <v>166</v>
      </c>
      <c r="AG34" s="25" t="s">
        <v>166</v>
      </c>
      <c r="AH34" s="25" t="s">
        <v>164</v>
      </c>
      <c r="AI34" s="25" t="s">
        <v>164</v>
      </c>
      <c r="AJ34" s="25" t="s">
        <v>164</v>
      </c>
      <c r="AK34" s="25" t="s">
        <v>164</v>
      </c>
      <c r="AL34" s="25" t="s">
        <v>164</v>
      </c>
      <c r="AM34" s="44"/>
      <c r="AN34" s="22"/>
      <c r="AO34" s="43">
        <f t="shared" si="3"/>
        <v>0</v>
      </c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 t="s">
        <v>164</v>
      </c>
      <c r="BF34" s="22" t="s">
        <v>164</v>
      </c>
      <c r="BG34" s="22" t="s">
        <v>164</v>
      </c>
      <c r="BH34" s="22" t="s">
        <v>164</v>
      </c>
      <c r="BI34" s="22"/>
      <c r="BJ34" s="22" t="s">
        <v>164</v>
      </c>
      <c r="BK34" s="22"/>
      <c r="BL34" s="22" t="s">
        <v>164</v>
      </c>
      <c r="BM34" s="22"/>
      <c r="BN34" s="22" t="s">
        <v>164</v>
      </c>
      <c r="BO34" s="22"/>
      <c r="BP34" s="22"/>
      <c r="BQ34" s="22"/>
      <c r="BR34" s="22" t="s">
        <v>164</v>
      </c>
      <c r="BS34" s="22"/>
      <c r="BT34" s="22" t="s">
        <v>164</v>
      </c>
      <c r="BU34" s="22"/>
      <c r="BV34" s="22"/>
      <c r="BW34" s="22"/>
      <c r="BX34" s="22" t="s">
        <v>164</v>
      </c>
      <c r="BY34" s="22"/>
      <c r="BZ34" s="22" t="s">
        <v>164</v>
      </c>
      <c r="CA34" s="22"/>
      <c r="CB34" s="22" t="s">
        <v>164</v>
      </c>
      <c r="CC34" s="22"/>
      <c r="CD34" s="22" t="s">
        <v>164</v>
      </c>
      <c r="CE34" s="25" t="s">
        <v>166</v>
      </c>
      <c r="CF34" s="25" t="s">
        <v>164</v>
      </c>
      <c r="CG34" s="25" t="s">
        <v>164</v>
      </c>
      <c r="CH34" s="25" t="s">
        <v>164</v>
      </c>
      <c r="CI34" s="25" t="s">
        <v>164</v>
      </c>
      <c r="CJ34" s="25" t="s">
        <v>164</v>
      </c>
      <c r="CK34" s="25" t="s">
        <v>164</v>
      </c>
      <c r="CL34" s="25" t="s">
        <v>164</v>
      </c>
      <c r="CM34" s="25" t="s">
        <v>164</v>
      </c>
      <c r="CN34" s="25" t="s">
        <v>164</v>
      </c>
      <c r="CO34" s="25" t="s">
        <v>164</v>
      </c>
      <c r="CP34" s="25" t="s">
        <v>164</v>
      </c>
      <c r="CQ34" s="25" t="s">
        <v>164</v>
      </c>
      <c r="CR34" s="25" t="s">
        <v>164</v>
      </c>
      <c r="CS34" s="25" t="s">
        <v>164</v>
      </c>
      <c r="CT34" s="25" t="s">
        <v>164</v>
      </c>
      <c r="CU34" s="25" t="s">
        <v>164</v>
      </c>
      <c r="CV34" s="25" t="s">
        <v>164</v>
      </c>
      <c r="CW34" s="37" t="s">
        <v>166</v>
      </c>
      <c r="CX34" s="38">
        <v>1.86</v>
      </c>
      <c r="CY34" s="38">
        <v>-1.81</v>
      </c>
      <c r="CZ34" s="50" t="s">
        <v>166</v>
      </c>
      <c r="DA34" s="33" t="s">
        <v>164</v>
      </c>
      <c r="DB34" s="33" t="s">
        <v>164</v>
      </c>
      <c r="DC34" s="33" t="s">
        <v>164</v>
      </c>
      <c r="DD34" s="33" t="s">
        <v>164</v>
      </c>
      <c r="DE34" s="33" t="s">
        <v>164</v>
      </c>
      <c r="DF34" s="33" t="s">
        <v>164</v>
      </c>
      <c r="DG34" s="33" t="s">
        <v>164</v>
      </c>
      <c r="DH34" s="33" t="s">
        <v>164</v>
      </c>
      <c r="DI34" s="33" t="s">
        <v>164</v>
      </c>
      <c r="DJ34" s="49" t="s">
        <v>166</v>
      </c>
      <c r="DK34" s="52">
        <v>1.64</v>
      </c>
      <c r="DL34" s="52">
        <v>11.0</v>
      </c>
      <c r="DM34" s="52">
        <v>175.21</v>
      </c>
      <c r="DN34" s="52">
        <v>5335.39</v>
      </c>
      <c r="DO34" s="52">
        <v>0.185673326</v>
      </c>
      <c r="DP34" s="52">
        <v>56.98</v>
      </c>
      <c r="DQ34" s="52">
        <v>2.38</v>
      </c>
      <c r="DR34" s="52">
        <v>4.84</v>
      </c>
      <c r="DS34" s="52">
        <v>2.86</v>
      </c>
      <c r="DT34" s="52">
        <v>27.82</v>
      </c>
      <c r="DU34" s="52">
        <v>480.77</v>
      </c>
      <c r="DV34" s="52">
        <v>0.33</v>
      </c>
      <c r="DW34" s="52">
        <v>3.95</v>
      </c>
      <c r="DX34" s="52">
        <v>1.78</v>
      </c>
      <c r="DY34" s="52">
        <v>13.68</v>
      </c>
      <c r="DZ34" s="52">
        <v>0.2</v>
      </c>
      <c r="EA34" s="52">
        <v>0.35</v>
      </c>
      <c r="EB34" s="52">
        <v>0.8</v>
      </c>
      <c r="EC34" s="52">
        <v>228.68</v>
      </c>
      <c r="ED34" s="52">
        <v>1.63</v>
      </c>
      <c r="EE34" s="52">
        <v>0.39</v>
      </c>
      <c r="EF34" s="52">
        <v>0.2</v>
      </c>
      <c r="EG34" s="52">
        <v>0.03</v>
      </c>
      <c r="EH34" s="52">
        <v>0.41</v>
      </c>
      <c r="EI34" s="52">
        <v>0.15</v>
      </c>
      <c r="EJ34" s="52">
        <v>0.02</v>
      </c>
      <c r="EK34" s="52">
        <v>7.12</v>
      </c>
      <c r="EL34" s="52">
        <v>0.96</v>
      </c>
      <c r="EM34" s="52">
        <v>0.8</v>
      </c>
      <c r="EN34" s="52">
        <v>0.71</v>
      </c>
      <c r="EO34" s="52">
        <v>0.13</v>
      </c>
      <c r="EP34" s="52">
        <v>0.03</v>
      </c>
      <c r="EQ34" s="52">
        <v>0.15</v>
      </c>
      <c r="ER34" s="52">
        <v>0.17</v>
      </c>
      <c r="ES34" s="52">
        <v>0.14</v>
      </c>
      <c r="ET34" s="52">
        <v>0.043607431</v>
      </c>
      <c r="EU34" s="52">
        <v>0.02</v>
      </c>
      <c r="EV34" s="52">
        <v>5.97</v>
      </c>
      <c r="EW34" s="52">
        <v>4.79</v>
      </c>
      <c r="EX34" s="52">
        <v>2301.36</v>
      </c>
      <c r="EY34" s="52">
        <v>0.09</v>
      </c>
      <c r="EZ34" s="40"/>
    </row>
    <row r="35" ht="15.75" customHeight="1">
      <c r="A35" s="20" t="s">
        <v>239</v>
      </c>
      <c r="B35" s="20"/>
      <c r="C35" s="21"/>
      <c r="D35" s="21"/>
      <c r="E35" s="21"/>
      <c r="F35" s="21"/>
      <c r="G35" s="21"/>
      <c r="H35" s="21"/>
      <c r="I35" s="21"/>
      <c r="J35" s="22"/>
      <c r="K35" s="23"/>
      <c r="L35" s="23"/>
      <c r="M35" s="23"/>
      <c r="N35" s="23"/>
      <c r="O35" s="21"/>
      <c r="P35" s="35"/>
      <c r="Q35" s="24" t="str">
        <f t="shared" si="1"/>
        <v>fine-grained, homogeneous, grey marble</v>
      </c>
      <c r="R35" s="22" t="s">
        <v>180</v>
      </c>
      <c r="S35" s="22" t="s">
        <v>181</v>
      </c>
      <c r="T35" s="24" t="s">
        <v>194</v>
      </c>
      <c r="U35" s="22" t="s">
        <v>195</v>
      </c>
      <c r="V35" s="22" t="s">
        <v>219</v>
      </c>
      <c r="W35" s="20" t="s">
        <v>166</v>
      </c>
      <c r="X35" s="22">
        <v>0.35</v>
      </c>
      <c r="Y35" s="22" t="s">
        <v>219</v>
      </c>
      <c r="Z35" s="22" t="s">
        <v>219</v>
      </c>
      <c r="AA35" s="25"/>
      <c r="AB35" s="25"/>
      <c r="AC35" s="25"/>
      <c r="AD35" s="58"/>
      <c r="AE35" s="53"/>
      <c r="AF35" s="25"/>
      <c r="AG35" s="25"/>
      <c r="AH35" s="25"/>
      <c r="AI35" s="25"/>
      <c r="AJ35" s="25"/>
      <c r="AK35" s="25"/>
      <c r="AL35" s="25"/>
      <c r="AM35" s="22"/>
      <c r="AN35" s="22"/>
      <c r="AO35" s="43">
        <f t="shared" si="3"/>
        <v>0</v>
      </c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 t="s">
        <v>164</v>
      </c>
      <c r="CW35" s="74"/>
      <c r="CX35" s="54"/>
      <c r="CY35" s="54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25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</row>
    <row r="36" ht="15.75" customHeight="1">
      <c r="A36" s="20" t="s">
        <v>240</v>
      </c>
      <c r="B36" s="20"/>
      <c r="C36" s="21"/>
      <c r="D36" s="21"/>
      <c r="E36" s="21"/>
      <c r="F36" s="21"/>
      <c r="G36" s="21"/>
      <c r="H36" s="21"/>
      <c r="I36" s="21"/>
      <c r="J36" s="22"/>
      <c r="K36" s="23"/>
      <c r="L36" s="23"/>
      <c r="M36" s="23"/>
      <c r="N36" s="23"/>
      <c r="O36" s="22"/>
      <c r="P36" s="24"/>
      <c r="Q36" s="24" t="str">
        <f t="shared" si="1"/>
        <v>medium-grained, homogeneous, grey marble</v>
      </c>
      <c r="R36" s="22" t="s">
        <v>205</v>
      </c>
      <c r="S36" s="22" t="s">
        <v>181</v>
      </c>
      <c r="T36" s="24" t="s">
        <v>194</v>
      </c>
      <c r="U36" s="22" t="s">
        <v>195</v>
      </c>
      <c r="V36" s="22" t="s">
        <v>219</v>
      </c>
      <c r="W36" s="20" t="s">
        <v>166</v>
      </c>
      <c r="X36" s="22">
        <v>1.3</v>
      </c>
      <c r="Y36" s="22" t="s">
        <v>191</v>
      </c>
      <c r="Z36" s="22" t="s">
        <v>198</v>
      </c>
      <c r="AA36" s="25"/>
      <c r="AB36" s="25"/>
      <c r="AC36" s="25"/>
      <c r="AD36" s="58"/>
      <c r="AE36" s="53"/>
      <c r="AF36" s="25"/>
      <c r="AG36" s="25"/>
      <c r="AH36" s="25"/>
      <c r="AI36" s="25"/>
      <c r="AJ36" s="25"/>
      <c r="AK36" s="25"/>
      <c r="AL36" s="25"/>
      <c r="AM36" s="22"/>
      <c r="AN36" s="22"/>
      <c r="AO36" s="43">
        <f t="shared" si="3"/>
        <v>0</v>
      </c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 t="s">
        <v>164</v>
      </c>
      <c r="CW36" s="74"/>
      <c r="CX36" s="54"/>
      <c r="CY36" s="54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25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</row>
    <row r="37" ht="15.75" customHeight="1">
      <c r="A37" s="20" t="s">
        <v>241</v>
      </c>
      <c r="B37" s="20"/>
      <c r="C37" s="21"/>
      <c r="D37" s="21"/>
      <c r="E37" s="21"/>
      <c r="F37" s="21"/>
      <c r="G37" s="21"/>
      <c r="H37" s="21"/>
      <c r="I37" s="21"/>
      <c r="J37" s="22"/>
      <c r="K37" s="23"/>
      <c r="L37" s="23"/>
      <c r="M37" s="23"/>
      <c r="N37" s="23"/>
      <c r="O37" s="21"/>
      <c r="P37" s="35"/>
      <c r="Q37" s="24" t="str">
        <f t="shared" si="1"/>
        <v>fine-grained, homogeneous, white marble</v>
      </c>
      <c r="R37" s="22" t="s">
        <v>180</v>
      </c>
      <c r="S37" s="22" t="s">
        <v>189</v>
      </c>
      <c r="T37" s="24" t="s">
        <v>194</v>
      </c>
      <c r="U37" s="22" t="s">
        <v>195</v>
      </c>
      <c r="V37" s="22" t="s">
        <v>219</v>
      </c>
      <c r="W37" s="20" t="s">
        <v>166</v>
      </c>
      <c r="X37" s="22">
        <v>0.9</v>
      </c>
      <c r="Y37" s="22" t="s">
        <v>191</v>
      </c>
      <c r="Z37" s="22" t="s">
        <v>198</v>
      </c>
      <c r="AA37" s="25"/>
      <c r="AB37" s="25"/>
      <c r="AC37" s="25"/>
      <c r="AD37" s="58"/>
      <c r="AE37" s="53"/>
      <c r="AF37" s="25"/>
      <c r="AG37" s="25"/>
      <c r="AH37" s="25"/>
      <c r="AI37" s="25"/>
      <c r="AJ37" s="25"/>
      <c r="AK37" s="25"/>
      <c r="AL37" s="25"/>
      <c r="AM37" s="22"/>
      <c r="AN37" s="22"/>
      <c r="AO37" s="43">
        <f t="shared" si="3"/>
        <v>0</v>
      </c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 t="s">
        <v>164</v>
      </c>
      <c r="CW37" s="74"/>
      <c r="CX37" s="54"/>
      <c r="CY37" s="54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25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  <c r="ED37" s="33"/>
      <c r="EE37" s="33"/>
      <c r="EF37" s="33"/>
      <c r="EG37" s="33"/>
      <c r="EH37" s="33"/>
      <c r="EI37" s="33"/>
      <c r="EJ37" s="33"/>
      <c r="EK37" s="33"/>
      <c r="EL37" s="33"/>
      <c r="EM37" s="33"/>
      <c r="EN37" s="33"/>
      <c r="EO37" s="33"/>
      <c r="EP37" s="33"/>
      <c r="EQ37" s="33"/>
      <c r="ER37" s="33"/>
      <c r="ES37" s="33"/>
      <c r="ET37" s="33"/>
      <c r="EU37" s="33"/>
      <c r="EV37" s="33"/>
      <c r="EW37" s="33"/>
      <c r="EX37" s="33"/>
      <c r="EY37" s="33"/>
      <c r="EZ37" s="33"/>
      <c r="FA37" s="40"/>
      <c r="FB37" s="40"/>
      <c r="FC37" s="40"/>
      <c r="FD37" s="40"/>
      <c r="FE37" s="40"/>
      <c r="FF37" s="40"/>
      <c r="FG37" s="40"/>
      <c r="FH37" s="40"/>
      <c r="FI37" s="40"/>
      <c r="FJ37" s="40"/>
      <c r="FK37" s="40"/>
      <c r="FL37" s="40"/>
      <c r="FM37" s="40"/>
      <c r="FN37" s="40"/>
      <c r="FO37" s="40"/>
      <c r="FP37" s="40"/>
      <c r="FQ37" s="40"/>
      <c r="FR37" s="40"/>
      <c r="FS37" s="40"/>
      <c r="FT37" s="40"/>
      <c r="FU37" s="40"/>
      <c r="FV37" s="40"/>
      <c r="FW37" s="40"/>
      <c r="FX37" s="40"/>
      <c r="FY37" s="40"/>
      <c r="FZ37" s="40"/>
      <c r="GA37" s="40"/>
    </row>
    <row r="38" ht="15.75" customHeight="1">
      <c r="A38" s="20" t="s">
        <v>242</v>
      </c>
      <c r="B38" s="20"/>
      <c r="C38" s="21"/>
      <c r="D38" s="21"/>
      <c r="E38" s="21"/>
      <c r="F38" s="21"/>
      <c r="G38" s="21"/>
      <c r="H38" s="21"/>
      <c r="I38" s="21"/>
      <c r="J38" s="22"/>
      <c r="K38" s="23"/>
      <c r="L38" s="23"/>
      <c r="M38" s="23"/>
      <c r="N38" s="23"/>
      <c r="O38" s="21"/>
      <c r="P38" s="35"/>
      <c r="Q38" s="24" t="str">
        <f t="shared" si="1"/>
        <v>fine-grained, banded and veined, white marble</v>
      </c>
      <c r="R38" s="22" t="s">
        <v>180</v>
      </c>
      <c r="S38" s="22" t="s">
        <v>189</v>
      </c>
      <c r="T38" s="24" t="s">
        <v>243</v>
      </c>
      <c r="U38" s="22" t="s">
        <v>244</v>
      </c>
      <c r="V38" s="22" t="s">
        <v>219</v>
      </c>
      <c r="W38" s="20" t="s">
        <v>166</v>
      </c>
      <c r="X38" s="22">
        <v>0.75</v>
      </c>
      <c r="Y38" s="22" t="s">
        <v>183</v>
      </c>
      <c r="Z38" s="22" t="s">
        <v>245</v>
      </c>
      <c r="AA38" s="25"/>
      <c r="AB38" s="25"/>
      <c r="AC38" s="25"/>
      <c r="AD38" s="58"/>
      <c r="AE38" s="53"/>
      <c r="AF38" s="25"/>
      <c r="AG38" s="25"/>
      <c r="AH38" s="25"/>
      <c r="AI38" s="25"/>
      <c r="AJ38" s="25"/>
      <c r="AK38" s="25"/>
      <c r="AL38" s="25"/>
      <c r="AM38" s="22"/>
      <c r="AN38" s="22"/>
      <c r="AO38" s="43">
        <f t="shared" si="3"/>
        <v>0</v>
      </c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 t="s">
        <v>164</v>
      </c>
      <c r="CW38" s="74"/>
      <c r="CX38" s="54"/>
      <c r="CY38" s="54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25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40"/>
      <c r="FB38" s="40"/>
      <c r="FC38" s="40"/>
      <c r="FD38" s="40"/>
      <c r="FE38" s="40"/>
      <c r="FF38" s="40"/>
      <c r="FG38" s="40"/>
      <c r="FH38" s="40"/>
      <c r="FI38" s="40"/>
      <c r="FJ38" s="40"/>
      <c r="FK38" s="40"/>
      <c r="FL38" s="40"/>
      <c r="FM38" s="40"/>
      <c r="FN38" s="40"/>
      <c r="FO38" s="40"/>
      <c r="FP38" s="40"/>
      <c r="FQ38" s="40"/>
      <c r="FR38" s="40"/>
      <c r="FS38" s="40"/>
      <c r="FT38" s="40"/>
      <c r="FU38" s="40"/>
      <c r="FV38" s="40"/>
      <c r="FW38" s="40"/>
      <c r="FX38" s="40"/>
      <c r="FY38" s="40"/>
      <c r="FZ38" s="40"/>
      <c r="GA38" s="40"/>
    </row>
    <row r="39" ht="15.75" customHeight="1">
      <c r="A39" s="20" t="s">
        <v>246</v>
      </c>
      <c r="B39" s="20"/>
      <c r="C39" s="21"/>
      <c r="D39" s="21"/>
      <c r="E39" s="21"/>
      <c r="F39" s="21"/>
      <c r="G39" s="21"/>
      <c r="H39" s="21"/>
      <c r="I39" s="21"/>
      <c r="J39" s="22"/>
      <c r="K39" s="23"/>
      <c r="L39" s="62"/>
      <c r="M39" s="23"/>
      <c r="N39" s="23"/>
      <c r="O39" s="21" t="s">
        <v>164</v>
      </c>
      <c r="P39" s="56" t="s">
        <v>247</v>
      </c>
      <c r="Q39" s="24" t="str">
        <f t="shared" si="1"/>
        <v>fine-grained, banded and veined, white marble</v>
      </c>
      <c r="R39" s="22" t="s">
        <v>180</v>
      </c>
      <c r="S39" s="22" t="s">
        <v>189</v>
      </c>
      <c r="T39" s="24" t="s">
        <v>243</v>
      </c>
      <c r="U39" s="22" t="s">
        <v>248</v>
      </c>
      <c r="V39" s="22" t="s">
        <v>166</v>
      </c>
      <c r="W39" s="20" t="s">
        <v>166</v>
      </c>
      <c r="X39" s="22">
        <v>0.9</v>
      </c>
      <c r="Y39" s="22" t="s">
        <v>209</v>
      </c>
      <c r="Z39" s="22" t="s">
        <v>219</v>
      </c>
      <c r="AA39" s="25"/>
      <c r="AB39" s="49" t="s">
        <v>166</v>
      </c>
      <c r="AC39" s="49">
        <v>0.1</v>
      </c>
      <c r="AD39" s="57" t="s">
        <v>196</v>
      </c>
      <c r="AE39" s="26" t="s">
        <v>219</v>
      </c>
      <c r="AF39" s="25" t="s">
        <v>164</v>
      </c>
      <c r="AG39" s="49" t="s">
        <v>166</v>
      </c>
      <c r="AH39" s="25" t="s">
        <v>164</v>
      </c>
      <c r="AI39" s="25" t="s">
        <v>164</v>
      </c>
      <c r="AJ39" s="25" t="s">
        <v>164</v>
      </c>
      <c r="AK39" s="25" t="s">
        <v>164</v>
      </c>
      <c r="AL39" s="25" t="s">
        <v>164</v>
      </c>
      <c r="AM39" s="44"/>
      <c r="AN39" s="22"/>
      <c r="AO39" s="43">
        <f t="shared" si="3"/>
        <v>0</v>
      </c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 t="s">
        <v>164</v>
      </c>
      <c r="BF39" s="22" t="s">
        <v>164</v>
      </c>
      <c r="BG39" s="22" t="s">
        <v>164</v>
      </c>
      <c r="BH39" s="22" t="s">
        <v>164</v>
      </c>
      <c r="BI39" s="22"/>
      <c r="BJ39" s="22" t="s">
        <v>164</v>
      </c>
      <c r="BK39" s="22"/>
      <c r="BL39" s="22" t="s">
        <v>164</v>
      </c>
      <c r="BM39" s="22"/>
      <c r="BN39" s="22" t="s">
        <v>164</v>
      </c>
      <c r="BO39" s="22"/>
      <c r="BP39" s="22"/>
      <c r="BQ39" s="22"/>
      <c r="BR39" s="22" t="s">
        <v>164</v>
      </c>
      <c r="BS39" s="22"/>
      <c r="BT39" s="22" t="s">
        <v>164</v>
      </c>
      <c r="BU39" s="22"/>
      <c r="BV39" s="22"/>
      <c r="BW39" s="22"/>
      <c r="BX39" s="22" t="s">
        <v>164</v>
      </c>
      <c r="BY39" s="22"/>
      <c r="BZ39" s="22" t="s">
        <v>164</v>
      </c>
      <c r="CA39" s="22"/>
      <c r="CB39" s="22" t="s">
        <v>164</v>
      </c>
      <c r="CC39" s="22"/>
      <c r="CD39" s="22" t="s">
        <v>164</v>
      </c>
      <c r="CE39" s="25" t="s">
        <v>164</v>
      </c>
      <c r="CF39" s="25" t="s">
        <v>164</v>
      </c>
      <c r="CG39" s="25" t="s">
        <v>164</v>
      </c>
      <c r="CH39" s="25" t="s">
        <v>164</v>
      </c>
      <c r="CI39" s="25" t="s">
        <v>164</v>
      </c>
      <c r="CJ39" s="25" t="s">
        <v>164</v>
      </c>
      <c r="CK39" s="25" t="s">
        <v>164</v>
      </c>
      <c r="CL39" s="25" t="s">
        <v>164</v>
      </c>
      <c r="CM39" s="25" t="s">
        <v>164</v>
      </c>
      <c r="CN39" s="25" t="s">
        <v>164</v>
      </c>
      <c r="CO39" s="25" t="s">
        <v>164</v>
      </c>
      <c r="CP39" s="25" t="s">
        <v>164</v>
      </c>
      <c r="CQ39" s="25" t="s">
        <v>164</v>
      </c>
      <c r="CR39" s="25" t="s">
        <v>164</v>
      </c>
      <c r="CS39" s="25" t="s">
        <v>164</v>
      </c>
      <c r="CT39" s="25" t="s">
        <v>164</v>
      </c>
      <c r="CU39" s="25" t="s">
        <v>164</v>
      </c>
      <c r="CV39" s="25" t="s">
        <v>164</v>
      </c>
      <c r="CW39" s="37" t="s">
        <v>166</v>
      </c>
      <c r="CX39" s="38">
        <v>1.0</v>
      </c>
      <c r="CY39" s="38">
        <v>-2.56</v>
      </c>
      <c r="CZ39" s="50" t="s">
        <v>166</v>
      </c>
      <c r="DA39" s="33" t="s">
        <v>164</v>
      </c>
      <c r="DB39" s="33" t="s">
        <v>164</v>
      </c>
      <c r="DC39" s="33" t="s">
        <v>164</v>
      </c>
      <c r="DD39" s="33" t="s">
        <v>164</v>
      </c>
      <c r="DE39" s="33" t="s">
        <v>164</v>
      </c>
      <c r="DF39" s="33" t="s">
        <v>164</v>
      </c>
      <c r="DG39" s="33" t="s">
        <v>164</v>
      </c>
      <c r="DH39" s="33" t="s">
        <v>164</v>
      </c>
      <c r="DI39" s="33" t="s">
        <v>164</v>
      </c>
      <c r="DJ39" s="49" t="s">
        <v>166</v>
      </c>
      <c r="DK39" s="52">
        <v>1.1</v>
      </c>
      <c r="DL39" s="52">
        <v>11.6</v>
      </c>
      <c r="DM39" s="52">
        <v>150.89</v>
      </c>
      <c r="DN39" s="52">
        <v>871.01</v>
      </c>
      <c r="DO39" s="52">
        <v>0.095041634</v>
      </c>
      <c r="DP39" s="52">
        <v>14.47</v>
      </c>
      <c r="DQ39" s="52">
        <v>1.57</v>
      </c>
      <c r="DR39" s="52">
        <v>4.44</v>
      </c>
      <c r="DS39" s="52">
        <v>10.47</v>
      </c>
      <c r="DT39" s="52">
        <v>577.75</v>
      </c>
      <c r="DU39" s="52">
        <v>0.3</v>
      </c>
      <c r="DV39" s="52">
        <v>3.56</v>
      </c>
      <c r="DW39" s="52">
        <v>3.3</v>
      </c>
      <c r="DX39" s="52">
        <v>10.83</v>
      </c>
      <c r="DY39" s="52">
        <v>0.59</v>
      </c>
      <c r="DZ39" s="52">
        <v>0.88</v>
      </c>
      <c r="EA39" s="52">
        <v>0.9</v>
      </c>
      <c r="EB39" s="52">
        <v>131.63</v>
      </c>
      <c r="EC39" s="52">
        <v>1.11</v>
      </c>
      <c r="ED39" s="52">
        <v>0.31</v>
      </c>
      <c r="EE39" s="52">
        <v>0.12</v>
      </c>
      <c r="EF39" s="52">
        <v>0.03</v>
      </c>
      <c r="EG39" s="52">
        <v>0.48</v>
      </c>
      <c r="EH39" s="52">
        <v>0.24</v>
      </c>
      <c r="EI39" s="52">
        <v>0.09</v>
      </c>
      <c r="EJ39" s="52">
        <v>8.61</v>
      </c>
      <c r="EK39" s="52">
        <v>0.76</v>
      </c>
      <c r="EL39" s="52">
        <v>0.67</v>
      </c>
      <c r="EM39" s="52">
        <v>0.34</v>
      </c>
      <c r="EN39" s="52">
        <v>0.07</v>
      </c>
      <c r="EO39" s="52">
        <v>0.02</v>
      </c>
      <c r="EP39" s="52">
        <v>0.1</v>
      </c>
      <c r="EQ39" s="52">
        <v>0.08</v>
      </c>
      <c r="ER39" s="52">
        <v>0.07</v>
      </c>
      <c r="ES39" s="52">
        <v>0.05</v>
      </c>
      <c r="ET39" s="52">
        <v>0.005745917</v>
      </c>
      <c r="EU39" s="52">
        <v>11.4</v>
      </c>
      <c r="EV39" s="52">
        <v>3.9</v>
      </c>
      <c r="EW39" s="52">
        <v>5.9</v>
      </c>
      <c r="EX39" s="52">
        <v>0.2</v>
      </c>
      <c r="EY39" s="52">
        <v>0.4</v>
      </c>
      <c r="EZ39" s="40"/>
    </row>
    <row r="40" ht="15.75" customHeight="1">
      <c r="A40" s="20" t="s">
        <v>246</v>
      </c>
      <c r="B40" s="20"/>
      <c r="C40" s="21"/>
      <c r="D40" s="21"/>
      <c r="E40" s="21"/>
      <c r="F40" s="21"/>
      <c r="G40" s="21"/>
      <c r="H40" s="21"/>
      <c r="I40" s="21"/>
      <c r="J40" s="22"/>
      <c r="K40" s="23"/>
      <c r="L40" s="62"/>
      <c r="M40" s="23"/>
      <c r="N40" s="23"/>
      <c r="O40" s="22" t="s">
        <v>164</v>
      </c>
      <c r="P40" s="24"/>
      <c r="Q40" s="24" t="str">
        <f t="shared" si="1"/>
        <v>fine-grained, , brown marble</v>
      </c>
      <c r="R40" s="22" t="s">
        <v>180</v>
      </c>
      <c r="S40" s="20" t="s">
        <v>248</v>
      </c>
      <c r="T40" s="24"/>
      <c r="U40" s="20" t="s">
        <v>189</v>
      </c>
      <c r="V40" s="22" t="s">
        <v>166</v>
      </c>
      <c r="W40" s="20" t="s">
        <v>166</v>
      </c>
      <c r="X40" s="22">
        <v>0.9</v>
      </c>
      <c r="Y40" s="22" t="s">
        <v>209</v>
      </c>
      <c r="Z40" s="22" t="s">
        <v>219</v>
      </c>
      <c r="AA40" s="25"/>
      <c r="AB40" s="49" t="s">
        <v>166</v>
      </c>
      <c r="AC40" s="49">
        <v>0.1</v>
      </c>
      <c r="AD40" s="57" t="s">
        <v>196</v>
      </c>
      <c r="AE40" s="26" t="s">
        <v>219</v>
      </c>
      <c r="AF40" s="25" t="s">
        <v>164</v>
      </c>
      <c r="AG40" s="49" t="s">
        <v>166</v>
      </c>
      <c r="AH40" s="25" t="s">
        <v>164</v>
      </c>
      <c r="AI40" s="25" t="s">
        <v>164</v>
      </c>
      <c r="AJ40" s="25" t="s">
        <v>164</v>
      </c>
      <c r="AK40" s="25" t="s">
        <v>164</v>
      </c>
      <c r="AL40" s="25" t="s">
        <v>164</v>
      </c>
      <c r="AM40" s="44"/>
      <c r="AN40" s="22"/>
      <c r="AO40" s="43">
        <f t="shared" si="3"/>
        <v>0</v>
      </c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 t="s">
        <v>164</v>
      </c>
      <c r="BF40" s="22" t="s">
        <v>164</v>
      </c>
      <c r="BG40" s="22" t="s">
        <v>164</v>
      </c>
      <c r="BH40" s="22" t="s">
        <v>164</v>
      </c>
      <c r="BI40" s="22"/>
      <c r="BJ40" s="22" t="s">
        <v>164</v>
      </c>
      <c r="BK40" s="22"/>
      <c r="BL40" s="22" t="s">
        <v>164</v>
      </c>
      <c r="BM40" s="22"/>
      <c r="BN40" s="22" t="s">
        <v>164</v>
      </c>
      <c r="BO40" s="22"/>
      <c r="BP40" s="22"/>
      <c r="BQ40" s="22"/>
      <c r="BR40" s="22" t="s">
        <v>164</v>
      </c>
      <c r="BS40" s="22"/>
      <c r="BT40" s="22" t="s">
        <v>164</v>
      </c>
      <c r="BU40" s="22"/>
      <c r="BV40" s="22"/>
      <c r="BW40" s="22"/>
      <c r="BX40" s="22" t="s">
        <v>164</v>
      </c>
      <c r="BY40" s="22"/>
      <c r="BZ40" s="22" t="s">
        <v>164</v>
      </c>
      <c r="CA40" s="22"/>
      <c r="CB40" s="22" t="s">
        <v>164</v>
      </c>
      <c r="CC40" s="22"/>
      <c r="CD40" s="22" t="s">
        <v>164</v>
      </c>
      <c r="CE40" s="25" t="s">
        <v>164</v>
      </c>
      <c r="CF40" s="25" t="s">
        <v>164</v>
      </c>
      <c r="CG40" s="25" t="s">
        <v>164</v>
      </c>
      <c r="CH40" s="25" t="s">
        <v>164</v>
      </c>
      <c r="CI40" s="25" t="s">
        <v>164</v>
      </c>
      <c r="CJ40" s="25" t="s">
        <v>164</v>
      </c>
      <c r="CK40" s="25" t="s">
        <v>164</v>
      </c>
      <c r="CL40" s="25" t="s">
        <v>164</v>
      </c>
      <c r="CM40" s="25" t="s">
        <v>164</v>
      </c>
      <c r="CN40" s="25" t="s">
        <v>164</v>
      </c>
      <c r="CO40" s="25" t="s">
        <v>164</v>
      </c>
      <c r="CP40" s="25" t="s">
        <v>164</v>
      </c>
      <c r="CQ40" s="25" t="s">
        <v>164</v>
      </c>
      <c r="CR40" s="25" t="s">
        <v>164</v>
      </c>
      <c r="CS40" s="25" t="s">
        <v>164</v>
      </c>
      <c r="CT40" s="25" t="s">
        <v>164</v>
      </c>
      <c r="CU40" s="25" t="s">
        <v>164</v>
      </c>
      <c r="CV40" s="25" t="s">
        <v>164</v>
      </c>
      <c r="CW40" s="37" t="s">
        <v>166</v>
      </c>
      <c r="CX40" s="38">
        <v>1.0</v>
      </c>
      <c r="CY40" s="38">
        <v>-2.56</v>
      </c>
      <c r="CZ40" s="50" t="s">
        <v>166</v>
      </c>
      <c r="DA40" s="33" t="s">
        <v>164</v>
      </c>
      <c r="DB40" s="33" t="s">
        <v>164</v>
      </c>
      <c r="DC40" s="33" t="s">
        <v>164</v>
      </c>
      <c r="DD40" s="33" t="s">
        <v>164</v>
      </c>
      <c r="DE40" s="33" t="s">
        <v>164</v>
      </c>
      <c r="DF40" s="33" t="s">
        <v>164</v>
      </c>
      <c r="DG40" s="33" t="s">
        <v>164</v>
      </c>
      <c r="DH40" s="33" t="s">
        <v>164</v>
      </c>
      <c r="DI40" s="33" t="s">
        <v>164</v>
      </c>
      <c r="DJ40" s="49" t="s">
        <v>166</v>
      </c>
      <c r="DK40" s="52">
        <v>0.29</v>
      </c>
      <c r="DL40" s="52">
        <v>4.56</v>
      </c>
      <c r="DM40" s="52">
        <v>54.37</v>
      </c>
      <c r="DN40" s="52">
        <v>209.92</v>
      </c>
      <c r="DO40" s="52">
        <v>0.057895972</v>
      </c>
      <c r="DP40" s="52">
        <v>3.42</v>
      </c>
      <c r="DQ40" s="52">
        <v>0.28</v>
      </c>
      <c r="DR40" s="52">
        <v>4.56</v>
      </c>
      <c r="DS40" s="52">
        <v>1.72</v>
      </c>
      <c r="DT40" s="52">
        <v>870.93</v>
      </c>
      <c r="DU40" s="52">
        <v>0.16</v>
      </c>
      <c r="DV40" s="52">
        <v>3.25</v>
      </c>
      <c r="DW40" s="52">
        <v>3.55</v>
      </c>
      <c r="DX40" s="52">
        <v>5.47</v>
      </c>
      <c r="DY40" s="52">
        <v>0.06</v>
      </c>
      <c r="DZ40" s="52">
        <v>0.36</v>
      </c>
      <c r="EA40" s="52">
        <v>0.06</v>
      </c>
      <c r="EB40" s="52">
        <v>117.42</v>
      </c>
      <c r="EC40" s="52">
        <v>1.85</v>
      </c>
      <c r="ED40" s="52">
        <v>0.02</v>
      </c>
      <c r="EE40" s="52">
        <v>0.01</v>
      </c>
      <c r="EF40" s="52">
        <v>0.01</v>
      </c>
      <c r="EG40" s="52">
        <v>0.15</v>
      </c>
      <c r="EH40" s="52">
        <v>0.24</v>
      </c>
      <c r="EI40" s="52">
        <v>0.02</v>
      </c>
      <c r="EJ40" s="52">
        <v>2.74</v>
      </c>
      <c r="EK40" s="52">
        <v>1.45</v>
      </c>
      <c r="EL40" s="52">
        <v>0.84</v>
      </c>
      <c r="EM40" s="52">
        <v>0.77</v>
      </c>
      <c r="EN40" s="52">
        <v>0.13</v>
      </c>
      <c r="EO40" s="52">
        <v>0.03</v>
      </c>
      <c r="EP40" s="52">
        <v>0.19</v>
      </c>
      <c r="EQ40" s="52">
        <v>0.17</v>
      </c>
      <c r="ER40" s="52">
        <v>0.12</v>
      </c>
      <c r="ES40" s="52">
        <v>0.07</v>
      </c>
      <c r="ET40" s="52">
        <v>2.76367E-4</v>
      </c>
      <c r="EU40" s="52">
        <v>11.46</v>
      </c>
      <c r="EV40" s="52">
        <v>2.17</v>
      </c>
      <c r="EW40" s="52">
        <v>5.54</v>
      </c>
      <c r="EX40" s="52">
        <v>0.03</v>
      </c>
      <c r="EY40" s="52">
        <v>0.1</v>
      </c>
      <c r="EZ40" s="40"/>
    </row>
    <row r="41" ht="15.75" customHeight="1">
      <c r="A41" s="20" t="s">
        <v>249</v>
      </c>
      <c r="B41" s="20"/>
      <c r="C41" s="21"/>
      <c r="D41" s="21"/>
      <c r="E41" s="21"/>
      <c r="F41" s="21"/>
      <c r="G41" s="21"/>
      <c r="H41" s="21"/>
      <c r="I41" s="21"/>
      <c r="J41" s="22"/>
      <c r="K41" s="23"/>
      <c r="L41" s="23"/>
      <c r="M41" s="23"/>
      <c r="N41" s="23"/>
      <c r="O41" s="21"/>
      <c r="P41" s="35"/>
      <c r="Q41" s="24" t="str">
        <f t="shared" si="1"/>
        <v>fine-grained, homogeneous, white marble</v>
      </c>
      <c r="R41" s="22" t="s">
        <v>180</v>
      </c>
      <c r="S41" s="22" t="s">
        <v>189</v>
      </c>
      <c r="T41" s="24" t="s">
        <v>194</v>
      </c>
      <c r="U41" s="22" t="s">
        <v>195</v>
      </c>
      <c r="V41" s="22" t="s">
        <v>166</v>
      </c>
      <c r="W41" s="20" t="s">
        <v>166</v>
      </c>
      <c r="X41" s="22">
        <v>1.2</v>
      </c>
      <c r="Y41" s="22" t="s">
        <v>191</v>
      </c>
      <c r="Z41" s="22" t="s">
        <v>198</v>
      </c>
      <c r="AA41" s="25"/>
      <c r="AB41" s="25"/>
      <c r="AC41" s="25"/>
      <c r="AD41" s="58"/>
      <c r="AE41" s="53"/>
      <c r="AF41" s="25"/>
      <c r="AG41" s="25"/>
      <c r="AH41" s="25"/>
      <c r="AI41" s="25"/>
      <c r="AJ41" s="25"/>
      <c r="AK41" s="25"/>
      <c r="AL41" s="25"/>
      <c r="AM41" s="22"/>
      <c r="AN41" s="22"/>
      <c r="AO41" s="43">
        <f t="shared" si="3"/>
        <v>0</v>
      </c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 t="s">
        <v>164</v>
      </c>
      <c r="CW41" s="74"/>
      <c r="CX41" s="54"/>
      <c r="CY41" s="54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25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</row>
    <row r="42" ht="15.75" customHeight="1">
      <c r="A42" s="20" t="s">
        <v>250</v>
      </c>
      <c r="B42" s="20"/>
      <c r="C42" s="21"/>
      <c r="D42" s="21"/>
      <c r="E42" s="21"/>
      <c r="F42" s="21"/>
      <c r="G42" s="21"/>
      <c r="H42" s="21"/>
      <c r="I42" s="21"/>
      <c r="J42" s="22"/>
      <c r="K42" s="23"/>
      <c r="L42" s="23"/>
      <c r="M42" s="23"/>
      <c r="N42" s="23"/>
      <c r="O42" s="21"/>
      <c r="P42" s="35"/>
      <c r="Q42" s="24" t="str">
        <f t="shared" si="1"/>
        <v>medium-grained, banded and veined, white marble</v>
      </c>
      <c r="R42" s="21" t="s">
        <v>205</v>
      </c>
      <c r="S42" s="21" t="s">
        <v>189</v>
      </c>
      <c r="T42" s="35" t="s">
        <v>243</v>
      </c>
      <c r="U42" s="21" t="s">
        <v>251</v>
      </c>
      <c r="V42" s="22" t="s">
        <v>219</v>
      </c>
      <c r="W42" s="20" t="s">
        <v>166</v>
      </c>
      <c r="X42" s="22">
        <v>1.7</v>
      </c>
      <c r="Y42" s="22" t="s">
        <v>191</v>
      </c>
      <c r="Z42" s="22" t="s">
        <v>198</v>
      </c>
      <c r="AA42" s="25"/>
      <c r="AB42" s="25"/>
      <c r="AC42" s="25"/>
      <c r="AD42" s="58"/>
      <c r="AE42" s="53"/>
      <c r="AF42" s="25"/>
      <c r="AG42" s="25"/>
      <c r="AH42" s="25"/>
      <c r="AI42" s="25"/>
      <c r="AJ42" s="25"/>
      <c r="AK42" s="25"/>
      <c r="AL42" s="25"/>
      <c r="AM42" s="22"/>
      <c r="AN42" s="22"/>
      <c r="AO42" s="43">
        <f t="shared" si="3"/>
        <v>0</v>
      </c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 t="s">
        <v>164</v>
      </c>
      <c r="CW42" s="74"/>
      <c r="CX42" s="54"/>
      <c r="CY42" s="54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25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</row>
    <row r="43" ht="15.75" customHeight="1">
      <c r="A43" s="20" t="s">
        <v>252</v>
      </c>
      <c r="B43" s="20"/>
      <c r="C43" s="21"/>
      <c r="D43" s="21"/>
      <c r="E43" s="21"/>
      <c r="F43" s="21"/>
      <c r="G43" s="21"/>
      <c r="H43" s="21"/>
      <c r="I43" s="21"/>
      <c r="J43" s="22"/>
      <c r="K43" s="48" t="s">
        <v>225</v>
      </c>
      <c r="L43" s="23"/>
      <c r="M43" s="23"/>
      <c r="N43" s="23"/>
      <c r="O43" s="21" t="s">
        <v>164</v>
      </c>
      <c r="P43" s="35"/>
      <c r="Q43" s="24" t="str">
        <f t="shared" si="1"/>
        <v>fine-grained, veined, grey marble</v>
      </c>
      <c r="R43" s="22" t="s">
        <v>180</v>
      </c>
      <c r="S43" s="22" t="s">
        <v>181</v>
      </c>
      <c r="T43" s="22" t="s">
        <v>206</v>
      </c>
      <c r="U43" s="67" t="s">
        <v>244</v>
      </c>
      <c r="V43" s="22" t="s">
        <v>190</v>
      </c>
      <c r="W43" s="20" t="s">
        <v>166</v>
      </c>
      <c r="X43" s="22">
        <v>0.5</v>
      </c>
      <c r="Y43" s="22" t="s">
        <v>209</v>
      </c>
      <c r="Z43" s="22" t="s">
        <v>245</v>
      </c>
      <c r="AA43" s="25"/>
      <c r="AB43" s="49" t="s">
        <v>166</v>
      </c>
      <c r="AC43" s="49">
        <v>0.7</v>
      </c>
      <c r="AD43" s="57" t="s">
        <v>209</v>
      </c>
      <c r="AE43" s="26" t="s">
        <v>207</v>
      </c>
      <c r="AF43" s="49" t="s">
        <v>166</v>
      </c>
      <c r="AG43" s="49" t="s">
        <v>166</v>
      </c>
      <c r="AH43" s="25" t="s">
        <v>164</v>
      </c>
      <c r="AI43" s="25" t="s">
        <v>164</v>
      </c>
      <c r="AJ43" s="25" t="s">
        <v>164</v>
      </c>
      <c r="AK43" s="25" t="s">
        <v>164</v>
      </c>
      <c r="AL43" s="25" t="s">
        <v>164</v>
      </c>
      <c r="AM43" s="44"/>
      <c r="AN43" s="22"/>
      <c r="AO43" s="43">
        <f t="shared" si="3"/>
        <v>0</v>
      </c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 t="s">
        <v>164</v>
      </c>
      <c r="BF43" s="22" t="s">
        <v>164</v>
      </c>
      <c r="BG43" s="22" t="s">
        <v>164</v>
      </c>
      <c r="BH43" s="22" t="s">
        <v>164</v>
      </c>
      <c r="BI43" s="22"/>
      <c r="BJ43" s="22" t="s">
        <v>164</v>
      </c>
      <c r="BK43" s="22"/>
      <c r="BL43" s="22" t="s">
        <v>164</v>
      </c>
      <c r="BM43" s="22"/>
      <c r="BN43" s="22" t="s">
        <v>164</v>
      </c>
      <c r="BO43" s="22"/>
      <c r="BP43" s="22"/>
      <c r="BQ43" s="22"/>
      <c r="BR43" s="22" t="s">
        <v>164</v>
      </c>
      <c r="BS43" s="22"/>
      <c r="BT43" s="22" t="s">
        <v>164</v>
      </c>
      <c r="BU43" s="22"/>
      <c r="BV43" s="22"/>
      <c r="BW43" s="22"/>
      <c r="BX43" s="22" t="s">
        <v>164</v>
      </c>
      <c r="BY43" s="22"/>
      <c r="BZ43" s="22" t="s">
        <v>164</v>
      </c>
      <c r="CA43" s="22"/>
      <c r="CB43" s="22" t="s">
        <v>164</v>
      </c>
      <c r="CC43" s="22"/>
      <c r="CD43" s="22" t="s">
        <v>164</v>
      </c>
      <c r="CE43" s="25" t="s">
        <v>164</v>
      </c>
      <c r="CF43" s="25" t="s">
        <v>164</v>
      </c>
      <c r="CG43" s="25" t="s">
        <v>164</v>
      </c>
      <c r="CH43" s="25" t="s">
        <v>164</v>
      </c>
      <c r="CI43" s="25" t="s">
        <v>164</v>
      </c>
      <c r="CJ43" s="25" t="s">
        <v>164</v>
      </c>
      <c r="CK43" s="25" t="s">
        <v>164</v>
      </c>
      <c r="CL43" s="25" t="s">
        <v>164</v>
      </c>
      <c r="CM43" s="25" t="s">
        <v>164</v>
      </c>
      <c r="CN43" s="25" t="s">
        <v>164</v>
      </c>
      <c r="CO43" s="25" t="s">
        <v>164</v>
      </c>
      <c r="CP43" s="25" t="s">
        <v>164</v>
      </c>
      <c r="CQ43" s="25" t="s">
        <v>164</v>
      </c>
      <c r="CR43" s="25" t="s">
        <v>164</v>
      </c>
      <c r="CS43" s="25" t="s">
        <v>164</v>
      </c>
      <c r="CT43" s="25" t="s">
        <v>164</v>
      </c>
      <c r="CU43" s="25" t="s">
        <v>164</v>
      </c>
      <c r="CV43" s="25" t="s">
        <v>164</v>
      </c>
      <c r="CW43" s="37" t="s">
        <v>166</v>
      </c>
      <c r="CX43" s="38">
        <v>2.03</v>
      </c>
      <c r="CY43" s="38">
        <v>-1.94</v>
      </c>
      <c r="CZ43" s="50" t="s">
        <v>166</v>
      </c>
      <c r="DA43" s="33" t="s">
        <v>164</v>
      </c>
      <c r="DB43" s="33" t="s">
        <v>164</v>
      </c>
      <c r="DC43" s="33" t="s">
        <v>164</v>
      </c>
      <c r="DD43" s="33" t="s">
        <v>164</v>
      </c>
      <c r="DE43" s="33" t="s">
        <v>164</v>
      </c>
      <c r="DF43" s="33" t="s">
        <v>164</v>
      </c>
      <c r="DG43" s="33" t="s">
        <v>164</v>
      </c>
      <c r="DH43" s="33" t="s">
        <v>164</v>
      </c>
      <c r="DI43" s="33" t="s">
        <v>164</v>
      </c>
      <c r="DJ43" s="49" t="s">
        <v>166</v>
      </c>
      <c r="DK43" s="52">
        <v>0.55</v>
      </c>
      <c r="DL43" s="52">
        <v>9.81</v>
      </c>
      <c r="DM43" s="52">
        <v>326.3</v>
      </c>
      <c r="DN43" s="52">
        <v>3899.24</v>
      </c>
      <c r="DO43" s="52">
        <v>0.138842768</v>
      </c>
      <c r="DP43" s="52">
        <v>30.0</v>
      </c>
      <c r="DQ43" s="52">
        <v>1.27</v>
      </c>
      <c r="DR43" s="52">
        <v>3.55</v>
      </c>
      <c r="DS43" s="52">
        <v>14.29</v>
      </c>
      <c r="DT43" s="52">
        <v>361.97</v>
      </c>
      <c r="DU43" s="52">
        <v>0.23</v>
      </c>
      <c r="DV43" s="52">
        <v>3.36</v>
      </c>
      <c r="DW43" s="52">
        <v>1.36</v>
      </c>
      <c r="DX43" s="52">
        <v>10.21</v>
      </c>
      <c r="DY43" s="52">
        <v>0.23</v>
      </c>
      <c r="DZ43" s="52">
        <v>0.4</v>
      </c>
      <c r="EA43" s="52">
        <v>1.37</v>
      </c>
      <c r="EB43" s="52">
        <v>192.24</v>
      </c>
      <c r="EC43" s="52">
        <v>1.51</v>
      </c>
      <c r="ED43" s="52">
        <v>0.73</v>
      </c>
      <c r="EE43" s="52">
        <v>0.09</v>
      </c>
      <c r="EF43" s="52">
        <v>0.01</v>
      </c>
      <c r="EG43" s="52">
        <v>0.16</v>
      </c>
      <c r="EH43" s="52">
        <v>0.05</v>
      </c>
      <c r="EI43" s="52">
        <v>0.04</v>
      </c>
      <c r="EJ43" s="52">
        <v>4.95</v>
      </c>
      <c r="EK43" s="52">
        <v>0.58</v>
      </c>
      <c r="EL43" s="52">
        <v>0.55</v>
      </c>
      <c r="EM43" s="52">
        <v>0.43</v>
      </c>
      <c r="EN43" s="52">
        <v>0.08</v>
      </c>
      <c r="EO43" s="52">
        <v>0.02</v>
      </c>
      <c r="EP43" s="52">
        <v>0.09</v>
      </c>
      <c r="EQ43" s="52">
        <v>0.15</v>
      </c>
      <c r="ER43" s="52">
        <v>0.11</v>
      </c>
      <c r="ES43" s="52">
        <v>0.09</v>
      </c>
      <c r="ET43" s="52">
        <v>0.015967908</v>
      </c>
      <c r="EU43" s="52">
        <v>5.96</v>
      </c>
      <c r="EV43" s="52">
        <v>3.21</v>
      </c>
      <c r="EW43" s="52">
        <v>21.68</v>
      </c>
      <c r="EX43" s="52">
        <v>0.06</v>
      </c>
      <c r="EY43" s="52">
        <v>0.06</v>
      </c>
      <c r="EZ43" s="40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</row>
    <row r="44" ht="15.75" customHeight="1">
      <c r="A44" s="20" t="s">
        <v>253</v>
      </c>
      <c r="B44" s="20"/>
      <c r="C44" s="21"/>
      <c r="D44" s="21"/>
      <c r="E44" s="21"/>
      <c r="F44" s="21"/>
      <c r="G44" s="21"/>
      <c r="H44" s="21"/>
      <c r="I44" s="21"/>
      <c r="J44" s="22"/>
      <c r="K44" s="23"/>
      <c r="L44" s="23"/>
      <c r="M44" s="23"/>
      <c r="N44" s="23"/>
      <c r="O44" s="21"/>
      <c r="P44" s="35"/>
      <c r="Q44" s="24" t="str">
        <f t="shared" si="1"/>
        <v>fine-grained, banded, grey marble</v>
      </c>
      <c r="R44" s="22" t="s">
        <v>180</v>
      </c>
      <c r="S44" s="22" t="s">
        <v>181</v>
      </c>
      <c r="T44" s="22" t="s">
        <v>182</v>
      </c>
      <c r="U44" s="22" t="s">
        <v>254</v>
      </c>
      <c r="V44" s="22" t="s">
        <v>190</v>
      </c>
      <c r="W44" s="20" t="s">
        <v>166</v>
      </c>
      <c r="X44" s="22">
        <v>0.3</v>
      </c>
      <c r="Y44" s="22" t="s">
        <v>219</v>
      </c>
      <c r="Z44" s="22" t="s">
        <v>219</v>
      </c>
      <c r="AA44" s="25"/>
      <c r="AB44" s="25"/>
      <c r="AC44" s="25"/>
      <c r="AD44" s="58"/>
      <c r="AE44" s="53"/>
      <c r="AF44" s="25"/>
      <c r="AG44" s="25"/>
      <c r="AH44" s="25"/>
      <c r="AI44" s="25"/>
      <c r="AJ44" s="25"/>
      <c r="AK44" s="25"/>
      <c r="AL44" s="25"/>
      <c r="AM44" s="22"/>
      <c r="AN44" s="22"/>
      <c r="AO44" s="43">
        <f t="shared" si="3"/>
        <v>0</v>
      </c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 t="s">
        <v>164</v>
      </c>
      <c r="CW44" s="74"/>
      <c r="CX44" s="54"/>
      <c r="CY44" s="54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25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</row>
    <row r="45" ht="15.75" customHeight="1">
      <c r="A45" s="20" t="s">
        <v>255</v>
      </c>
      <c r="B45" s="20"/>
      <c r="C45" s="21"/>
      <c r="D45" s="21"/>
      <c r="E45" s="21"/>
      <c r="F45" s="21"/>
      <c r="G45" s="21"/>
      <c r="H45" s="21"/>
      <c r="I45" s="21"/>
      <c r="J45" s="22"/>
      <c r="K45" s="23"/>
      <c r="L45" s="23"/>
      <c r="M45" s="23"/>
      <c r="N45" s="23"/>
      <c r="O45" s="21" t="s">
        <v>164</v>
      </c>
      <c r="P45" s="35"/>
      <c r="Q45" s="24" t="str">
        <f t="shared" si="1"/>
        <v>fine-grained, homogeneous, white marble</v>
      </c>
      <c r="R45" s="22" t="s">
        <v>180</v>
      </c>
      <c r="S45" s="22" t="s">
        <v>189</v>
      </c>
      <c r="T45" s="24" t="s">
        <v>194</v>
      </c>
      <c r="U45" s="22" t="s">
        <v>195</v>
      </c>
      <c r="V45" s="20" t="s">
        <v>166</v>
      </c>
      <c r="W45" s="20" t="s">
        <v>166</v>
      </c>
      <c r="X45" s="22">
        <v>0.5</v>
      </c>
      <c r="Y45" s="22" t="s">
        <v>209</v>
      </c>
      <c r="Z45" s="22" t="s">
        <v>198</v>
      </c>
      <c r="AA45" s="25"/>
      <c r="AB45" s="25"/>
      <c r="AC45" s="25" t="s">
        <v>164</v>
      </c>
      <c r="AD45" s="25" t="s">
        <v>164</v>
      </c>
      <c r="AE45" s="53"/>
      <c r="AF45" s="25" t="s">
        <v>164</v>
      </c>
      <c r="AG45" s="25" t="s">
        <v>164</v>
      </c>
      <c r="AH45" s="25" t="s">
        <v>164</v>
      </c>
      <c r="AI45" s="25" t="s">
        <v>164</v>
      </c>
      <c r="AJ45" s="25" t="s">
        <v>164</v>
      </c>
      <c r="AK45" s="25" t="s">
        <v>164</v>
      </c>
      <c r="AL45" s="25" t="s">
        <v>164</v>
      </c>
      <c r="AM45" s="22"/>
      <c r="AN45" s="22"/>
      <c r="AO45" s="43">
        <f t="shared" si="3"/>
        <v>0</v>
      </c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 t="s">
        <v>164</v>
      </c>
      <c r="BF45" s="22" t="s">
        <v>164</v>
      </c>
      <c r="BG45" s="22" t="s">
        <v>164</v>
      </c>
      <c r="BH45" s="22" t="s">
        <v>164</v>
      </c>
      <c r="BI45" s="22"/>
      <c r="BJ45" s="22" t="s">
        <v>164</v>
      </c>
      <c r="BK45" s="22"/>
      <c r="BL45" s="22" t="s">
        <v>164</v>
      </c>
      <c r="BM45" s="22"/>
      <c r="BN45" s="22" t="s">
        <v>164</v>
      </c>
      <c r="BO45" s="22"/>
      <c r="BP45" s="22"/>
      <c r="BQ45" s="22"/>
      <c r="BR45" s="22" t="s">
        <v>164</v>
      </c>
      <c r="BS45" s="22"/>
      <c r="BT45" s="22" t="s">
        <v>164</v>
      </c>
      <c r="BU45" s="22"/>
      <c r="BV45" s="22"/>
      <c r="BW45" s="22"/>
      <c r="BX45" s="22" t="s">
        <v>164</v>
      </c>
      <c r="BY45" s="22"/>
      <c r="BZ45" s="22" t="s">
        <v>164</v>
      </c>
      <c r="CA45" s="22"/>
      <c r="CB45" s="22" t="s">
        <v>164</v>
      </c>
      <c r="CC45" s="22"/>
      <c r="CD45" s="22" t="s">
        <v>164</v>
      </c>
      <c r="CE45" s="25" t="s">
        <v>164</v>
      </c>
      <c r="CF45" s="25" t="s">
        <v>164</v>
      </c>
      <c r="CG45" s="25" t="s">
        <v>164</v>
      </c>
      <c r="CH45" s="25" t="s">
        <v>164</v>
      </c>
      <c r="CI45" s="25" t="s">
        <v>164</v>
      </c>
      <c r="CJ45" s="25" t="s">
        <v>164</v>
      </c>
      <c r="CK45" s="25" t="s">
        <v>164</v>
      </c>
      <c r="CL45" s="25" t="s">
        <v>164</v>
      </c>
      <c r="CM45" s="25" t="s">
        <v>164</v>
      </c>
      <c r="CN45" s="25" t="s">
        <v>164</v>
      </c>
      <c r="CO45" s="25" t="s">
        <v>164</v>
      </c>
      <c r="CP45" s="25" t="s">
        <v>164</v>
      </c>
      <c r="CQ45" s="25" t="s">
        <v>164</v>
      </c>
      <c r="CR45" s="25" t="s">
        <v>164</v>
      </c>
      <c r="CS45" s="25" t="s">
        <v>164</v>
      </c>
      <c r="CT45" s="25" t="s">
        <v>164</v>
      </c>
      <c r="CU45" s="25" t="s">
        <v>164</v>
      </c>
      <c r="CV45" s="25" t="s">
        <v>164</v>
      </c>
      <c r="CW45" s="37" t="s">
        <v>166</v>
      </c>
      <c r="CX45" s="38">
        <v>2.11</v>
      </c>
      <c r="CY45" s="38">
        <v>-1.81</v>
      </c>
      <c r="CZ45" s="33"/>
      <c r="DA45" s="33" t="s">
        <v>164</v>
      </c>
      <c r="DB45" s="33" t="s">
        <v>164</v>
      </c>
      <c r="DC45" s="33" t="s">
        <v>164</v>
      </c>
      <c r="DD45" s="33" t="s">
        <v>164</v>
      </c>
      <c r="DE45" s="33" t="s">
        <v>164</v>
      </c>
      <c r="DF45" s="33" t="s">
        <v>164</v>
      </c>
      <c r="DG45" s="33" t="s">
        <v>164</v>
      </c>
      <c r="DH45" s="33" t="s">
        <v>164</v>
      </c>
      <c r="DI45" s="33" t="s">
        <v>164</v>
      </c>
      <c r="DJ45" s="25"/>
      <c r="DK45" s="33"/>
      <c r="DL45" s="33"/>
      <c r="DM45" s="33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  <c r="ED45" s="33"/>
      <c r="EE45" s="33"/>
      <c r="EF45" s="33"/>
      <c r="EG45" s="33"/>
      <c r="EH45" s="33"/>
      <c r="EI45" s="33"/>
      <c r="EJ45" s="33"/>
      <c r="EK45" s="33"/>
      <c r="EL45" s="33"/>
      <c r="EM45" s="33"/>
      <c r="EN45" s="33"/>
      <c r="EO45" s="33"/>
      <c r="EP45" s="33"/>
      <c r="EQ45" s="33"/>
      <c r="ER45" s="33"/>
      <c r="ES45" s="33"/>
      <c r="ET45" s="33"/>
      <c r="EU45" s="33"/>
      <c r="EV45" s="33"/>
      <c r="EW45" s="33"/>
      <c r="EX45" s="33"/>
      <c r="EY45" s="33"/>
      <c r="EZ45" s="33"/>
    </row>
    <row r="46" ht="15.75" customHeight="1">
      <c r="A46" s="20" t="s">
        <v>256</v>
      </c>
      <c r="B46" s="20"/>
      <c r="C46" s="21"/>
      <c r="D46" s="21"/>
      <c r="E46" s="21"/>
      <c r="F46" s="21"/>
      <c r="G46" s="21"/>
      <c r="H46" s="21"/>
      <c r="I46" s="21"/>
      <c r="J46" s="22"/>
      <c r="K46" s="23"/>
      <c r="L46" s="23"/>
      <c r="M46" s="23"/>
      <c r="N46" s="23"/>
      <c r="O46" s="21"/>
      <c r="P46" s="35"/>
      <c r="Q46" s="24" t="str">
        <f t="shared" si="1"/>
        <v>medium-grained, homogeneous, grey marble</v>
      </c>
      <c r="R46" s="22" t="s">
        <v>205</v>
      </c>
      <c r="S46" s="22" t="s">
        <v>181</v>
      </c>
      <c r="T46" s="24" t="s">
        <v>194</v>
      </c>
      <c r="U46" s="22" t="s">
        <v>195</v>
      </c>
      <c r="V46" s="22" t="s">
        <v>219</v>
      </c>
      <c r="W46" s="20" t="s">
        <v>166</v>
      </c>
      <c r="X46" s="22">
        <v>2.3</v>
      </c>
      <c r="Y46" s="22" t="s">
        <v>191</v>
      </c>
      <c r="Z46" s="22" t="s">
        <v>198</v>
      </c>
      <c r="AA46" s="25"/>
      <c r="AB46" s="25"/>
      <c r="AC46" s="25"/>
      <c r="AD46" s="58"/>
      <c r="AE46" s="53"/>
      <c r="AF46" s="25"/>
      <c r="AG46" s="25"/>
      <c r="AH46" s="25"/>
      <c r="AI46" s="25"/>
      <c r="AJ46" s="25"/>
      <c r="AK46" s="25"/>
      <c r="AL46" s="25"/>
      <c r="AM46" s="22"/>
      <c r="AN46" s="22"/>
      <c r="AO46" s="43">
        <f t="shared" si="3"/>
        <v>0</v>
      </c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 t="s">
        <v>164</v>
      </c>
      <c r="CW46" s="74"/>
      <c r="CX46" s="54"/>
      <c r="CY46" s="54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25"/>
      <c r="DK46" s="33"/>
      <c r="DL46" s="33"/>
      <c r="DM46" s="33"/>
      <c r="DN46" s="33"/>
      <c r="DO46" s="33"/>
      <c r="DP46" s="33"/>
      <c r="DQ46" s="33"/>
      <c r="DR46" s="33"/>
      <c r="DS46" s="33"/>
      <c r="DT46" s="33"/>
      <c r="DU46" s="33"/>
      <c r="DV46" s="33"/>
      <c r="DW46" s="33"/>
      <c r="DX46" s="33"/>
      <c r="DY46" s="33"/>
      <c r="DZ46" s="33"/>
      <c r="EA46" s="33"/>
      <c r="EB46" s="33"/>
      <c r="EC46" s="33"/>
      <c r="ED46" s="33"/>
      <c r="EE46" s="33"/>
      <c r="EF46" s="33"/>
      <c r="EG46" s="33"/>
      <c r="EH46" s="33"/>
      <c r="EI46" s="33"/>
      <c r="EJ46" s="33"/>
      <c r="EK46" s="33"/>
      <c r="EL46" s="33"/>
      <c r="EM46" s="33"/>
      <c r="EN46" s="33"/>
      <c r="EO46" s="33"/>
      <c r="EP46" s="33"/>
      <c r="EQ46" s="33"/>
      <c r="ER46" s="33"/>
      <c r="ES46" s="33"/>
      <c r="ET46" s="33"/>
      <c r="EU46" s="33"/>
      <c r="EV46" s="33"/>
      <c r="EW46" s="33"/>
      <c r="EX46" s="33"/>
      <c r="EY46" s="33"/>
      <c r="EZ46" s="33"/>
    </row>
    <row r="47" ht="15.75" customHeight="1">
      <c r="A47" s="20" t="s">
        <v>257</v>
      </c>
      <c r="B47" s="20"/>
      <c r="C47" s="21"/>
      <c r="D47" s="21"/>
      <c r="E47" s="21"/>
      <c r="F47" s="21"/>
      <c r="G47" s="21"/>
      <c r="H47" s="21"/>
      <c r="I47" s="21"/>
      <c r="J47" s="22"/>
      <c r="K47" s="48"/>
      <c r="L47" s="48" t="s">
        <v>258</v>
      </c>
      <c r="M47" s="23"/>
      <c r="N47" s="23"/>
      <c r="O47" s="21" t="s">
        <v>164</v>
      </c>
      <c r="P47" s="35"/>
      <c r="Q47" s="24" t="str">
        <f t="shared" si="1"/>
        <v>medium-grained, homogeneous, white marble</v>
      </c>
      <c r="R47" s="22" t="s">
        <v>205</v>
      </c>
      <c r="S47" s="22" t="s">
        <v>189</v>
      </c>
      <c r="T47" s="24" t="s">
        <v>194</v>
      </c>
      <c r="U47" s="22" t="s">
        <v>195</v>
      </c>
      <c r="V47" s="22" t="s">
        <v>190</v>
      </c>
      <c r="W47" s="20" t="s">
        <v>166</v>
      </c>
      <c r="X47" s="22">
        <v>0.6</v>
      </c>
      <c r="Y47" s="22" t="s">
        <v>209</v>
      </c>
      <c r="Z47" s="22" t="s">
        <v>198</v>
      </c>
      <c r="AA47" s="25"/>
      <c r="AB47" s="49" t="s">
        <v>166</v>
      </c>
      <c r="AC47" s="49">
        <v>0.6</v>
      </c>
      <c r="AD47" s="57" t="s">
        <v>191</v>
      </c>
      <c r="AE47" s="26" t="s">
        <v>198</v>
      </c>
      <c r="AF47" s="49" t="s">
        <v>166</v>
      </c>
      <c r="AG47" s="49" t="s">
        <v>166</v>
      </c>
      <c r="AH47" s="49"/>
      <c r="AI47" s="25" t="s">
        <v>164</v>
      </c>
      <c r="AJ47" s="25" t="s">
        <v>164</v>
      </c>
      <c r="AK47" s="25" t="s">
        <v>164</v>
      </c>
      <c r="AL47" s="25" t="s">
        <v>164</v>
      </c>
      <c r="AM47" s="44"/>
      <c r="AN47" s="20" t="s">
        <v>259</v>
      </c>
      <c r="AO47" s="43">
        <f t="shared" si="3"/>
        <v>0</v>
      </c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 t="s">
        <v>164</v>
      </c>
      <c r="BF47" s="22" t="s">
        <v>164</v>
      </c>
      <c r="BG47" s="22" t="s">
        <v>164</v>
      </c>
      <c r="BH47" s="22" t="s">
        <v>164</v>
      </c>
      <c r="BI47" s="22"/>
      <c r="BJ47" s="22" t="s">
        <v>164</v>
      </c>
      <c r="BK47" s="22"/>
      <c r="BL47" s="22" t="s">
        <v>164</v>
      </c>
      <c r="BM47" s="22"/>
      <c r="BN47" s="22" t="s">
        <v>164</v>
      </c>
      <c r="BO47" s="22"/>
      <c r="BP47" s="22"/>
      <c r="BQ47" s="22"/>
      <c r="BR47" s="22" t="s">
        <v>164</v>
      </c>
      <c r="BS47" s="22"/>
      <c r="BT47" s="22" t="s">
        <v>164</v>
      </c>
      <c r="BU47" s="22"/>
      <c r="BV47" s="22"/>
      <c r="BW47" s="22"/>
      <c r="BX47" s="22" t="s">
        <v>164</v>
      </c>
      <c r="BY47" s="22"/>
      <c r="BZ47" s="22" t="s">
        <v>164</v>
      </c>
      <c r="CA47" s="22"/>
      <c r="CB47" s="22" t="s">
        <v>164</v>
      </c>
      <c r="CC47" s="22"/>
      <c r="CD47" s="22" t="s">
        <v>164</v>
      </c>
      <c r="CE47" s="25" t="s">
        <v>164</v>
      </c>
      <c r="CF47" s="25" t="s">
        <v>164</v>
      </c>
      <c r="CG47" s="25" t="s">
        <v>164</v>
      </c>
      <c r="CH47" s="25" t="s">
        <v>164</v>
      </c>
      <c r="CI47" s="25" t="s">
        <v>164</v>
      </c>
      <c r="CJ47" s="25" t="s">
        <v>164</v>
      </c>
      <c r="CK47" s="25" t="s">
        <v>164</v>
      </c>
      <c r="CL47" s="25" t="s">
        <v>164</v>
      </c>
      <c r="CM47" s="25" t="s">
        <v>164</v>
      </c>
      <c r="CN47" s="25" t="s">
        <v>164</v>
      </c>
      <c r="CO47" s="25" t="s">
        <v>164</v>
      </c>
      <c r="CP47" s="25" t="s">
        <v>164</v>
      </c>
      <c r="CQ47" s="25" t="s">
        <v>164</v>
      </c>
      <c r="CR47" s="25" t="s">
        <v>164</v>
      </c>
      <c r="CS47" s="25" t="s">
        <v>164</v>
      </c>
      <c r="CT47" s="25" t="s">
        <v>164</v>
      </c>
      <c r="CU47" s="25" t="s">
        <v>164</v>
      </c>
      <c r="CV47" s="25" t="s">
        <v>164</v>
      </c>
      <c r="CW47" s="37" t="s">
        <v>166</v>
      </c>
      <c r="CX47" s="38">
        <v>2.88</v>
      </c>
      <c r="CY47" s="38">
        <v>-6.35</v>
      </c>
      <c r="CZ47" s="50" t="s">
        <v>166</v>
      </c>
      <c r="DA47" s="33" t="s">
        <v>164</v>
      </c>
      <c r="DB47" s="33" t="s">
        <v>164</v>
      </c>
      <c r="DC47" s="33" t="s">
        <v>164</v>
      </c>
      <c r="DD47" s="33" t="s">
        <v>164</v>
      </c>
      <c r="DE47" s="33" t="s">
        <v>164</v>
      </c>
      <c r="DF47" s="33" t="s">
        <v>164</v>
      </c>
      <c r="DG47" s="33" t="s">
        <v>164</v>
      </c>
      <c r="DH47" s="33" t="s">
        <v>164</v>
      </c>
      <c r="DI47" s="33" t="s">
        <v>164</v>
      </c>
      <c r="DJ47" s="49" t="s">
        <v>166</v>
      </c>
      <c r="DK47" s="52">
        <v>0.96</v>
      </c>
      <c r="DL47" s="52">
        <v>13.6</v>
      </c>
      <c r="DM47" s="52">
        <v>247.12</v>
      </c>
      <c r="DN47" s="52">
        <v>3178.58</v>
      </c>
      <c r="DO47" s="52">
        <v>0.132912079</v>
      </c>
      <c r="DP47" s="52">
        <v>27.73</v>
      </c>
      <c r="DQ47" s="52">
        <v>1.3</v>
      </c>
      <c r="DR47" s="52">
        <v>3.86</v>
      </c>
      <c r="DS47" s="52">
        <v>42.65</v>
      </c>
      <c r="DT47" s="52">
        <v>414.43</v>
      </c>
      <c r="DU47" s="52">
        <v>0.18</v>
      </c>
      <c r="DV47" s="52">
        <v>1.86</v>
      </c>
      <c r="DW47" s="52">
        <v>1.4</v>
      </c>
      <c r="DX47" s="52">
        <v>25.03</v>
      </c>
      <c r="DY47" s="52">
        <v>0.15</v>
      </c>
      <c r="DZ47" s="52">
        <v>0.41</v>
      </c>
      <c r="EA47" s="52">
        <v>1.01</v>
      </c>
      <c r="EB47" s="52">
        <v>192.15</v>
      </c>
      <c r="EC47" s="52">
        <v>6.82</v>
      </c>
      <c r="ED47" s="52">
        <v>1.04</v>
      </c>
      <c r="EE47" s="52">
        <v>0.2</v>
      </c>
      <c r="EF47" s="52">
        <v>0.02</v>
      </c>
      <c r="EG47" s="52">
        <v>0.13</v>
      </c>
      <c r="EH47" s="52">
        <v>0.1</v>
      </c>
      <c r="EI47" s="52">
        <v>0.1</v>
      </c>
      <c r="EJ47" s="52">
        <v>2.7</v>
      </c>
      <c r="EK47" s="52">
        <v>2.57</v>
      </c>
      <c r="EL47" s="52">
        <v>1.6</v>
      </c>
      <c r="EM47" s="52">
        <v>1.6</v>
      </c>
      <c r="EN47" s="52">
        <v>0.27</v>
      </c>
      <c r="EO47" s="52">
        <v>0.07</v>
      </c>
      <c r="EP47" s="52">
        <v>0.23</v>
      </c>
      <c r="EQ47" s="52">
        <v>0.64</v>
      </c>
      <c r="ER47" s="52">
        <v>0.48</v>
      </c>
      <c r="ES47" s="52">
        <v>0.42</v>
      </c>
      <c r="ET47" s="52">
        <v>0.014154737</v>
      </c>
      <c r="EU47" s="52">
        <v>12.57</v>
      </c>
      <c r="EV47" s="52">
        <v>16.2</v>
      </c>
      <c r="EW47" s="52">
        <v>58.77</v>
      </c>
      <c r="EX47" s="52">
        <v>0.08</v>
      </c>
      <c r="EY47" s="52">
        <v>0.05</v>
      </c>
      <c r="EZ47" s="40"/>
    </row>
    <row r="48" ht="15.75" customHeight="1">
      <c r="A48" s="20" t="s">
        <v>260</v>
      </c>
      <c r="B48" s="20"/>
      <c r="C48" s="21"/>
      <c r="D48" s="21"/>
      <c r="E48" s="21"/>
      <c r="F48" s="21"/>
      <c r="G48" s="21"/>
      <c r="H48" s="21"/>
      <c r="I48" s="21"/>
      <c r="J48" s="22"/>
      <c r="K48" s="23"/>
      <c r="L48" s="23"/>
      <c r="M48" s="23"/>
      <c r="N48" s="23"/>
      <c r="O48" s="21"/>
      <c r="P48" s="35"/>
      <c r="Q48" s="24" t="str">
        <f t="shared" si="1"/>
        <v>medium-grained, homogeneous, white marble</v>
      </c>
      <c r="R48" s="22" t="s">
        <v>205</v>
      </c>
      <c r="S48" s="22" t="s">
        <v>189</v>
      </c>
      <c r="T48" s="24" t="s">
        <v>194</v>
      </c>
      <c r="U48" s="22" t="s">
        <v>195</v>
      </c>
      <c r="V48" s="22" t="s">
        <v>219</v>
      </c>
      <c r="W48" s="20" t="s">
        <v>166</v>
      </c>
      <c r="X48" s="22">
        <v>2.0</v>
      </c>
      <c r="Y48" s="22" t="s">
        <v>209</v>
      </c>
      <c r="Z48" s="22" t="s">
        <v>198</v>
      </c>
      <c r="AA48" s="25"/>
      <c r="AB48" s="25"/>
      <c r="AC48" s="25"/>
      <c r="AD48" s="58"/>
      <c r="AE48" s="53"/>
      <c r="AF48" s="25"/>
      <c r="AG48" s="25"/>
      <c r="AH48" s="25"/>
      <c r="AI48" s="25"/>
      <c r="AJ48" s="25"/>
      <c r="AK48" s="25"/>
      <c r="AL48" s="25"/>
      <c r="AM48" s="22"/>
      <c r="AN48" s="22"/>
      <c r="AO48" s="43">
        <f t="shared" si="3"/>
        <v>0</v>
      </c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 t="s">
        <v>164</v>
      </c>
      <c r="CW48" s="74"/>
      <c r="CX48" s="54"/>
      <c r="CY48" s="54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25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4"/>
      <c r="FB48" s="34"/>
      <c r="FC48" s="34"/>
      <c r="FD48" s="34"/>
      <c r="FE48" s="34"/>
      <c r="FF48" s="34"/>
      <c r="FG48" s="34"/>
      <c r="FH48" s="34"/>
      <c r="FI48" s="34"/>
      <c r="FJ48" s="34"/>
      <c r="FK48" s="34"/>
      <c r="FL48" s="34"/>
      <c r="FM48" s="34"/>
      <c r="FN48" s="34"/>
      <c r="FO48" s="34"/>
      <c r="FP48" s="34"/>
      <c r="FQ48" s="34"/>
      <c r="FR48" s="34"/>
      <c r="FS48" s="34"/>
      <c r="FT48" s="34"/>
      <c r="FU48" s="34"/>
      <c r="FV48" s="34"/>
      <c r="FW48" s="34"/>
      <c r="FX48" s="34"/>
      <c r="FY48" s="34"/>
      <c r="FZ48" s="34"/>
      <c r="GA48" s="34"/>
    </row>
    <row r="49" ht="15.75" customHeight="1">
      <c r="A49" s="20" t="s">
        <v>261</v>
      </c>
      <c r="B49" s="20"/>
      <c r="C49" s="21"/>
      <c r="D49" s="21"/>
      <c r="E49" s="21"/>
      <c r="F49" s="21"/>
      <c r="G49" s="21"/>
      <c r="H49" s="21"/>
      <c r="I49" s="21"/>
      <c r="J49" s="22"/>
      <c r="K49" s="23"/>
      <c r="L49" s="23"/>
      <c r="M49" s="23"/>
      <c r="N49" s="23"/>
      <c r="O49" s="21"/>
      <c r="P49" s="35"/>
      <c r="Q49" s="24" t="str">
        <f t="shared" si="1"/>
        <v>fine-grained, homogeneous, white marble</v>
      </c>
      <c r="R49" s="22" t="s">
        <v>180</v>
      </c>
      <c r="S49" s="22" t="s">
        <v>189</v>
      </c>
      <c r="T49" s="24" t="s">
        <v>194</v>
      </c>
      <c r="U49" s="22" t="s">
        <v>195</v>
      </c>
      <c r="V49" s="22" t="s">
        <v>219</v>
      </c>
      <c r="W49" s="20" t="s">
        <v>166</v>
      </c>
      <c r="X49" s="22">
        <v>0.3</v>
      </c>
      <c r="Y49" s="22" t="s">
        <v>209</v>
      </c>
      <c r="Z49" s="22" t="s">
        <v>198</v>
      </c>
      <c r="AA49" s="25"/>
      <c r="AB49" s="25"/>
      <c r="AC49" s="25"/>
      <c r="AD49" s="58"/>
      <c r="AE49" s="53"/>
      <c r="AF49" s="25"/>
      <c r="AG49" s="25"/>
      <c r="AH49" s="25"/>
      <c r="AI49" s="25"/>
      <c r="AJ49" s="25"/>
      <c r="AK49" s="25"/>
      <c r="AL49" s="25"/>
      <c r="AM49" s="22"/>
      <c r="AN49" s="22"/>
      <c r="AO49" s="43">
        <f t="shared" si="3"/>
        <v>0</v>
      </c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 t="s">
        <v>164</v>
      </c>
      <c r="CW49" s="74"/>
      <c r="CX49" s="54"/>
      <c r="CY49" s="54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25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40"/>
      <c r="FB49" s="40"/>
      <c r="FC49" s="40"/>
      <c r="FD49" s="40"/>
      <c r="FE49" s="40"/>
      <c r="FF49" s="40"/>
      <c r="FG49" s="40"/>
      <c r="FH49" s="40"/>
      <c r="FI49" s="40"/>
      <c r="FJ49" s="40"/>
      <c r="FK49" s="40"/>
      <c r="FL49" s="40"/>
      <c r="FM49" s="40"/>
      <c r="FN49" s="40"/>
      <c r="FO49" s="40"/>
      <c r="FP49" s="40"/>
      <c r="FQ49" s="40"/>
      <c r="FR49" s="40"/>
      <c r="FS49" s="40"/>
      <c r="FT49" s="40"/>
      <c r="FU49" s="40"/>
      <c r="FV49" s="40"/>
      <c r="FW49" s="40"/>
      <c r="FX49" s="40"/>
      <c r="FY49" s="40"/>
      <c r="FZ49" s="40"/>
      <c r="GA49" s="40"/>
    </row>
    <row r="50" ht="15.75" customHeight="1">
      <c r="A50" s="20" t="s">
        <v>262</v>
      </c>
      <c r="B50" s="20"/>
      <c r="C50" s="21"/>
      <c r="D50" s="21"/>
      <c r="E50" s="21"/>
      <c r="F50" s="21"/>
      <c r="G50" s="21"/>
      <c r="H50" s="21"/>
      <c r="I50" s="21"/>
      <c r="J50" s="22"/>
      <c r="K50" s="48" t="s">
        <v>225</v>
      </c>
      <c r="L50" s="23"/>
      <c r="M50" s="23"/>
      <c r="N50" s="23"/>
      <c r="O50" s="21" t="s">
        <v>164</v>
      </c>
      <c r="P50" s="56" t="s">
        <v>204</v>
      </c>
      <c r="Q50" s="24" t="str">
        <f t="shared" si="1"/>
        <v>fine-grained, homogeneous, white marble</v>
      </c>
      <c r="R50" s="22" t="s">
        <v>180</v>
      </c>
      <c r="S50" s="22" t="s">
        <v>189</v>
      </c>
      <c r="T50" s="24" t="s">
        <v>194</v>
      </c>
      <c r="U50" s="22" t="s">
        <v>195</v>
      </c>
      <c r="V50" s="22" t="s">
        <v>166</v>
      </c>
      <c r="W50" s="20" t="s">
        <v>166</v>
      </c>
      <c r="X50" s="22">
        <v>0.3</v>
      </c>
      <c r="Y50" s="22" t="s">
        <v>196</v>
      </c>
      <c r="Z50" s="22" t="s">
        <v>245</v>
      </c>
      <c r="AA50" s="25"/>
      <c r="AB50" s="49" t="s">
        <v>166</v>
      </c>
      <c r="AC50" s="49">
        <v>0.6</v>
      </c>
      <c r="AD50" s="57" t="s">
        <v>209</v>
      </c>
      <c r="AE50" s="26" t="s">
        <v>245</v>
      </c>
      <c r="AF50" s="49" t="s">
        <v>166</v>
      </c>
      <c r="AG50" s="49" t="s">
        <v>166</v>
      </c>
      <c r="AH50" s="25" t="s">
        <v>164</v>
      </c>
      <c r="AI50" s="25" t="s">
        <v>164</v>
      </c>
      <c r="AJ50" s="25" t="s">
        <v>164</v>
      </c>
      <c r="AK50" s="25" t="s">
        <v>164</v>
      </c>
      <c r="AL50" s="25" t="s">
        <v>164</v>
      </c>
      <c r="AM50" s="22"/>
      <c r="AN50" s="22"/>
      <c r="AO50" s="43">
        <f t="shared" si="3"/>
        <v>0</v>
      </c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 t="s">
        <v>164</v>
      </c>
      <c r="BF50" s="22" t="s">
        <v>164</v>
      </c>
      <c r="BG50" s="22" t="s">
        <v>164</v>
      </c>
      <c r="BH50" s="22" t="s">
        <v>164</v>
      </c>
      <c r="BI50" s="22"/>
      <c r="BJ50" s="22" t="s">
        <v>164</v>
      </c>
      <c r="BK50" s="22"/>
      <c r="BL50" s="22" t="s">
        <v>164</v>
      </c>
      <c r="BM50" s="22"/>
      <c r="BN50" s="22" t="s">
        <v>164</v>
      </c>
      <c r="BO50" s="22"/>
      <c r="BP50" s="22"/>
      <c r="BQ50" s="22"/>
      <c r="BR50" s="22" t="s">
        <v>164</v>
      </c>
      <c r="BS50" s="22"/>
      <c r="BT50" s="22" t="s">
        <v>164</v>
      </c>
      <c r="BU50" s="22"/>
      <c r="BV50" s="22"/>
      <c r="BW50" s="22"/>
      <c r="BX50" s="22" t="s">
        <v>164</v>
      </c>
      <c r="BY50" s="22"/>
      <c r="BZ50" s="22" t="s">
        <v>164</v>
      </c>
      <c r="CA50" s="22"/>
      <c r="CB50" s="22" t="s">
        <v>164</v>
      </c>
      <c r="CC50" s="22"/>
      <c r="CD50" s="22" t="s">
        <v>164</v>
      </c>
      <c r="CE50" s="25" t="s">
        <v>164</v>
      </c>
      <c r="CF50" s="25" t="s">
        <v>164</v>
      </c>
      <c r="CG50" s="25" t="s">
        <v>164</v>
      </c>
      <c r="CH50" s="25" t="s">
        <v>164</v>
      </c>
      <c r="CI50" s="25" t="s">
        <v>164</v>
      </c>
      <c r="CJ50" s="25" t="s">
        <v>164</v>
      </c>
      <c r="CK50" s="25" t="s">
        <v>164</v>
      </c>
      <c r="CL50" s="25" t="s">
        <v>164</v>
      </c>
      <c r="CM50" s="25" t="s">
        <v>164</v>
      </c>
      <c r="CN50" s="25" t="s">
        <v>164</v>
      </c>
      <c r="CO50" s="25" t="s">
        <v>164</v>
      </c>
      <c r="CP50" s="25" t="s">
        <v>164</v>
      </c>
      <c r="CQ50" s="25" t="s">
        <v>164</v>
      </c>
      <c r="CR50" s="25" t="s">
        <v>164</v>
      </c>
      <c r="CS50" s="25" t="s">
        <v>164</v>
      </c>
      <c r="CT50" s="25" t="s">
        <v>164</v>
      </c>
      <c r="CU50" s="25" t="s">
        <v>164</v>
      </c>
      <c r="CV50" s="25" t="s">
        <v>164</v>
      </c>
      <c r="CW50" s="37" t="s">
        <v>166</v>
      </c>
      <c r="CX50" s="38">
        <v>3.73</v>
      </c>
      <c r="CY50" s="38">
        <v>-1.72</v>
      </c>
      <c r="CZ50" s="50" t="s">
        <v>166</v>
      </c>
      <c r="DA50" s="33" t="s">
        <v>164</v>
      </c>
      <c r="DB50" s="33" t="s">
        <v>164</v>
      </c>
      <c r="DC50" s="33" t="s">
        <v>164</v>
      </c>
      <c r="DD50" s="33" t="s">
        <v>164</v>
      </c>
      <c r="DE50" s="33" t="s">
        <v>164</v>
      </c>
      <c r="DF50" s="33" t="s">
        <v>164</v>
      </c>
      <c r="DG50" s="33" t="s">
        <v>164</v>
      </c>
      <c r="DH50" s="33" t="s">
        <v>164</v>
      </c>
      <c r="DI50" s="33" t="s">
        <v>164</v>
      </c>
      <c r="DJ50" s="49" t="s">
        <v>166</v>
      </c>
      <c r="DK50" s="52">
        <v>1.14</v>
      </c>
      <c r="DL50" s="52">
        <v>24.92</v>
      </c>
      <c r="DM50" s="52">
        <v>197.04</v>
      </c>
      <c r="DN50" s="52">
        <v>4322.23</v>
      </c>
      <c r="DO50" s="52">
        <v>0.137118148</v>
      </c>
      <c r="DP50" s="52">
        <v>11.15</v>
      </c>
      <c r="DQ50" s="52">
        <v>1.37</v>
      </c>
      <c r="DR50" s="52">
        <v>3.94</v>
      </c>
      <c r="DS50" s="52">
        <v>37.19</v>
      </c>
      <c r="DT50" s="52">
        <v>392.57</v>
      </c>
      <c r="DU50" s="52">
        <v>0.36</v>
      </c>
      <c r="DV50" s="52">
        <v>2.32</v>
      </c>
      <c r="DW50" s="52">
        <v>0.6</v>
      </c>
      <c r="DX50" s="52">
        <v>18.04</v>
      </c>
      <c r="DY50" s="52">
        <v>0.19</v>
      </c>
      <c r="DZ50" s="52">
        <v>0.36</v>
      </c>
      <c r="EA50" s="52">
        <v>0.77</v>
      </c>
      <c r="EB50" s="52">
        <v>205.79</v>
      </c>
      <c r="EC50" s="52">
        <v>1.62</v>
      </c>
      <c r="ED50" s="52">
        <v>0.94</v>
      </c>
      <c r="EE50" s="52">
        <v>0.2</v>
      </c>
      <c r="EF50" s="52">
        <v>0.04</v>
      </c>
      <c r="EG50" s="52">
        <v>0.18</v>
      </c>
      <c r="EH50" s="52">
        <v>0.04</v>
      </c>
      <c r="EI50" s="52">
        <v>0.09</v>
      </c>
      <c r="EJ50" s="52">
        <v>5.63</v>
      </c>
      <c r="EK50" s="52">
        <v>0.76</v>
      </c>
      <c r="EL50" s="52">
        <v>0.76</v>
      </c>
      <c r="EM50" s="52">
        <v>0.55</v>
      </c>
      <c r="EN50" s="52">
        <v>0.1</v>
      </c>
      <c r="EO50" s="52">
        <v>0.03</v>
      </c>
      <c r="EP50" s="52">
        <v>0.12</v>
      </c>
      <c r="EQ50" s="52">
        <v>0.15</v>
      </c>
      <c r="ER50" s="52">
        <v>0.1</v>
      </c>
      <c r="ES50" s="52">
        <v>0.09</v>
      </c>
      <c r="ET50" s="52">
        <v>0.007577377</v>
      </c>
      <c r="EU50" s="52">
        <v>6.6</v>
      </c>
      <c r="EV50" s="52">
        <v>14.14</v>
      </c>
      <c r="EW50" s="52">
        <v>0.93</v>
      </c>
      <c r="EX50" s="52">
        <v>0.05</v>
      </c>
      <c r="EY50" s="52">
        <v>0.08</v>
      </c>
      <c r="EZ50" s="40"/>
      <c r="FA50" s="34"/>
      <c r="FB50" s="34"/>
      <c r="FC50" s="34"/>
      <c r="FD50" s="34"/>
      <c r="FE50" s="34"/>
      <c r="FF50" s="34"/>
      <c r="FG50" s="34"/>
      <c r="FH50" s="34"/>
      <c r="FI50" s="34"/>
      <c r="FJ50" s="34"/>
      <c r="FK50" s="34"/>
      <c r="FL50" s="34"/>
      <c r="FM50" s="34"/>
      <c r="FN50" s="34"/>
      <c r="FO50" s="34"/>
      <c r="FP50" s="34"/>
      <c r="FQ50" s="34"/>
      <c r="FR50" s="34"/>
      <c r="FS50" s="34"/>
      <c r="FT50" s="34"/>
      <c r="FU50" s="34"/>
      <c r="FV50" s="34"/>
      <c r="FW50" s="34"/>
      <c r="FX50" s="34"/>
      <c r="FY50" s="34"/>
      <c r="FZ50" s="34"/>
      <c r="GA50" s="34"/>
    </row>
    <row r="51" ht="15.75" customHeight="1">
      <c r="A51" s="20" t="s">
        <v>263</v>
      </c>
      <c r="B51" s="20"/>
      <c r="C51" s="21"/>
      <c r="D51" s="21"/>
      <c r="E51" s="21"/>
      <c r="F51" s="21"/>
      <c r="G51" s="21"/>
      <c r="H51" s="21"/>
      <c r="I51" s="21"/>
      <c r="J51" s="22"/>
      <c r="K51" s="23"/>
      <c r="L51" s="48" t="s">
        <v>258</v>
      </c>
      <c r="M51" s="23"/>
      <c r="N51" s="23"/>
      <c r="O51" s="22" t="s">
        <v>164</v>
      </c>
      <c r="P51" s="24"/>
      <c r="Q51" s="24" t="str">
        <f t="shared" si="1"/>
        <v>fine-grained, homogeneous, white marble</v>
      </c>
      <c r="R51" s="22" t="s">
        <v>180</v>
      </c>
      <c r="S51" s="22" t="s">
        <v>189</v>
      </c>
      <c r="T51" s="24" t="s">
        <v>194</v>
      </c>
      <c r="U51" s="22" t="s">
        <v>195</v>
      </c>
      <c r="V51" s="22" t="s">
        <v>166</v>
      </c>
      <c r="W51" s="20" t="s">
        <v>166</v>
      </c>
      <c r="X51" s="22">
        <v>0.5</v>
      </c>
      <c r="Y51" s="22" t="s">
        <v>196</v>
      </c>
      <c r="Z51" s="22" t="s">
        <v>219</v>
      </c>
      <c r="AA51" s="25"/>
      <c r="AB51" s="49" t="s">
        <v>166</v>
      </c>
      <c r="AC51" s="49">
        <v>0.5</v>
      </c>
      <c r="AD51" s="57" t="s">
        <v>191</v>
      </c>
      <c r="AE51" s="26" t="s">
        <v>198</v>
      </c>
      <c r="AF51" s="49" t="s">
        <v>166</v>
      </c>
      <c r="AG51" s="49" t="s">
        <v>166</v>
      </c>
      <c r="AH51" s="25" t="s">
        <v>164</v>
      </c>
      <c r="AI51" s="25" t="s">
        <v>164</v>
      </c>
      <c r="AJ51" s="25" t="s">
        <v>164</v>
      </c>
      <c r="AK51" s="25" t="s">
        <v>164</v>
      </c>
      <c r="AL51" s="25" t="s">
        <v>164</v>
      </c>
      <c r="AM51" s="22"/>
      <c r="AN51" s="22"/>
      <c r="AO51" s="43">
        <f t="shared" si="3"/>
        <v>0</v>
      </c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 t="s">
        <v>164</v>
      </c>
      <c r="BF51" s="22" t="s">
        <v>164</v>
      </c>
      <c r="BG51" s="22" t="s">
        <v>164</v>
      </c>
      <c r="BH51" s="22" t="s">
        <v>164</v>
      </c>
      <c r="BI51" s="22"/>
      <c r="BJ51" s="22" t="s">
        <v>164</v>
      </c>
      <c r="BK51" s="22"/>
      <c r="BL51" s="22" t="s">
        <v>164</v>
      </c>
      <c r="BM51" s="22"/>
      <c r="BN51" s="22" t="s">
        <v>164</v>
      </c>
      <c r="BO51" s="22"/>
      <c r="BP51" s="22"/>
      <c r="BQ51" s="22"/>
      <c r="BR51" s="22" t="s">
        <v>164</v>
      </c>
      <c r="BS51" s="22"/>
      <c r="BT51" s="22" t="s">
        <v>164</v>
      </c>
      <c r="BU51" s="22"/>
      <c r="BV51" s="22"/>
      <c r="BW51" s="22"/>
      <c r="BX51" s="22" t="s">
        <v>164</v>
      </c>
      <c r="BY51" s="22"/>
      <c r="BZ51" s="22" t="s">
        <v>164</v>
      </c>
      <c r="CA51" s="22"/>
      <c r="CB51" s="22" t="s">
        <v>164</v>
      </c>
      <c r="CC51" s="22"/>
      <c r="CD51" s="22" t="s">
        <v>164</v>
      </c>
      <c r="CE51" s="25" t="s">
        <v>164</v>
      </c>
      <c r="CF51" s="25" t="s">
        <v>164</v>
      </c>
      <c r="CG51" s="25" t="s">
        <v>164</v>
      </c>
      <c r="CH51" s="25" t="s">
        <v>164</v>
      </c>
      <c r="CI51" s="25" t="s">
        <v>164</v>
      </c>
      <c r="CJ51" s="25" t="s">
        <v>164</v>
      </c>
      <c r="CK51" s="25" t="s">
        <v>164</v>
      </c>
      <c r="CL51" s="25" t="s">
        <v>164</v>
      </c>
      <c r="CM51" s="25" t="s">
        <v>164</v>
      </c>
      <c r="CN51" s="25" t="s">
        <v>164</v>
      </c>
      <c r="CO51" s="25" t="s">
        <v>164</v>
      </c>
      <c r="CP51" s="25" t="s">
        <v>164</v>
      </c>
      <c r="CQ51" s="25" t="s">
        <v>164</v>
      </c>
      <c r="CR51" s="25" t="s">
        <v>164</v>
      </c>
      <c r="CS51" s="25" t="s">
        <v>164</v>
      </c>
      <c r="CT51" s="25" t="s">
        <v>164</v>
      </c>
      <c r="CU51" s="25" t="s">
        <v>164</v>
      </c>
      <c r="CV51" s="25" t="s">
        <v>164</v>
      </c>
      <c r="CW51" s="37" t="s">
        <v>166</v>
      </c>
      <c r="CX51" s="38">
        <v>3.8</v>
      </c>
      <c r="CY51" s="38">
        <v>-4.66</v>
      </c>
      <c r="CZ51" s="50" t="s">
        <v>166</v>
      </c>
      <c r="DA51" s="33" t="s">
        <v>164</v>
      </c>
      <c r="DB51" s="33" t="s">
        <v>164</v>
      </c>
      <c r="DC51" s="33" t="s">
        <v>164</v>
      </c>
      <c r="DD51" s="33" t="s">
        <v>164</v>
      </c>
      <c r="DE51" s="33" t="s">
        <v>164</v>
      </c>
      <c r="DF51" s="33" t="s">
        <v>164</v>
      </c>
      <c r="DG51" s="33" t="s">
        <v>164</v>
      </c>
      <c r="DH51" s="33" t="s">
        <v>164</v>
      </c>
      <c r="DI51" s="33" t="s">
        <v>164</v>
      </c>
      <c r="DJ51" s="49" t="s">
        <v>166</v>
      </c>
      <c r="DK51" s="52">
        <v>0.46</v>
      </c>
      <c r="DL51" s="52">
        <v>14.59</v>
      </c>
      <c r="DM51" s="52">
        <v>302.42</v>
      </c>
      <c r="DN51" s="52">
        <v>2956.81</v>
      </c>
      <c r="DO51" s="52">
        <v>0.128104534</v>
      </c>
      <c r="DP51" s="52">
        <v>8.24</v>
      </c>
      <c r="DQ51" s="52">
        <v>0.58</v>
      </c>
      <c r="DR51" s="52">
        <v>3.43</v>
      </c>
      <c r="DS51" s="52">
        <v>57.61</v>
      </c>
      <c r="DT51" s="52">
        <v>279.52</v>
      </c>
      <c r="DU51" s="52">
        <v>0.43</v>
      </c>
      <c r="DV51" s="52">
        <v>8.23</v>
      </c>
      <c r="DW51" s="52">
        <v>3.63</v>
      </c>
      <c r="DX51" s="52">
        <v>13.55</v>
      </c>
      <c r="DY51" s="52">
        <v>0.3</v>
      </c>
      <c r="DZ51" s="52">
        <v>0.65</v>
      </c>
      <c r="EA51" s="52">
        <v>0.33</v>
      </c>
      <c r="EB51" s="52">
        <v>191.51</v>
      </c>
      <c r="EC51" s="52">
        <v>2.91</v>
      </c>
      <c r="ED51" s="52">
        <v>0.08</v>
      </c>
      <c r="EE51" s="52">
        <v>0.03</v>
      </c>
      <c r="EF51" s="52">
        <v>0.04</v>
      </c>
      <c r="EG51" s="52">
        <v>1.25</v>
      </c>
      <c r="EH51" s="52">
        <v>0.31</v>
      </c>
      <c r="EI51" s="52">
        <v>0.03</v>
      </c>
      <c r="EJ51" s="52">
        <v>9.22</v>
      </c>
      <c r="EK51" s="52">
        <v>0.93</v>
      </c>
      <c r="EL51" s="52">
        <v>0.42</v>
      </c>
      <c r="EM51" s="52">
        <v>0.56</v>
      </c>
      <c r="EN51" s="52">
        <v>0.11</v>
      </c>
      <c r="EO51" s="52">
        <v>0.03</v>
      </c>
      <c r="EP51" s="52">
        <v>0.15</v>
      </c>
      <c r="EQ51" s="52">
        <v>0.21</v>
      </c>
      <c r="ER51" s="52">
        <v>0.19</v>
      </c>
      <c r="ES51" s="52">
        <v>0.11</v>
      </c>
      <c r="ET51" s="52">
        <v>2.20984E-4</v>
      </c>
      <c r="EU51" s="52">
        <v>12.95</v>
      </c>
      <c r="EV51" s="52">
        <v>4.77</v>
      </c>
      <c r="EW51" s="52">
        <v>17.66</v>
      </c>
      <c r="EX51" s="52">
        <v>0.03</v>
      </c>
      <c r="EY51" s="52">
        <v>0.04</v>
      </c>
      <c r="EZ51" s="40"/>
      <c r="FA51" s="34"/>
      <c r="FB51" s="34"/>
      <c r="FC51" s="34"/>
      <c r="FD51" s="34"/>
      <c r="FE51" s="34"/>
      <c r="FF51" s="34"/>
      <c r="FG51" s="34"/>
      <c r="FH51" s="34"/>
      <c r="FI51" s="34"/>
      <c r="FJ51" s="34"/>
      <c r="FK51" s="34"/>
      <c r="FL51" s="34"/>
      <c r="FM51" s="34"/>
      <c r="FN51" s="34"/>
      <c r="FO51" s="34"/>
      <c r="FP51" s="34"/>
      <c r="FQ51" s="34"/>
      <c r="FR51" s="34"/>
      <c r="FS51" s="34"/>
      <c r="FT51" s="34"/>
      <c r="FU51" s="34"/>
      <c r="FV51" s="34"/>
      <c r="FW51" s="34"/>
      <c r="FX51" s="34"/>
      <c r="FY51" s="34"/>
      <c r="FZ51" s="34"/>
      <c r="GA51" s="34"/>
    </row>
    <row r="52" ht="15.75" customHeight="1">
      <c r="A52" s="20" t="s">
        <v>264</v>
      </c>
      <c r="B52" s="20"/>
      <c r="C52" s="21"/>
      <c r="D52" s="21"/>
      <c r="E52" s="21"/>
      <c r="F52" s="21"/>
      <c r="G52" s="21"/>
      <c r="H52" s="21"/>
      <c r="I52" s="21"/>
      <c r="J52" s="22"/>
      <c r="K52" s="23"/>
      <c r="L52" s="48" t="s">
        <v>258</v>
      </c>
      <c r="M52" s="23"/>
      <c r="N52" s="23"/>
      <c r="O52" s="22" t="s">
        <v>164</v>
      </c>
      <c r="P52" s="24"/>
      <c r="Q52" s="24" t="str">
        <f t="shared" si="1"/>
        <v>fine-grained, banded, grey marble</v>
      </c>
      <c r="R52" s="22" t="s">
        <v>180</v>
      </c>
      <c r="S52" s="22" t="s">
        <v>181</v>
      </c>
      <c r="T52" s="22" t="s">
        <v>182</v>
      </c>
      <c r="U52" s="22" t="s">
        <v>265</v>
      </c>
      <c r="V52" s="22" t="s">
        <v>166</v>
      </c>
      <c r="W52" s="20" t="s">
        <v>166</v>
      </c>
      <c r="X52" s="22">
        <v>0.6</v>
      </c>
      <c r="Y52" s="22" t="s">
        <v>191</v>
      </c>
      <c r="Z52" s="22" t="s">
        <v>198</v>
      </c>
      <c r="AA52" s="25"/>
      <c r="AB52" s="49" t="s">
        <v>166</v>
      </c>
      <c r="AC52" s="49">
        <v>0.5</v>
      </c>
      <c r="AD52" s="57" t="s">
        <v>191</v>
      </c>
      <c r="AE52" s="26" t="s">
        <v>207</v>
      </c>
      <c r="AF52" s="49" t="s">
        <v>166</v>
      </c>
      <c r="AG52" s="49" t="s">
        <v>166</v>
      </c>
      <c r="AH52" s="25" t="s">
        <v>164</v>
      </c>
      <c r="AI52" s="25" t="s">
        <v>164</v>
      </c>
      <c r="AJ52" s="25" t="s">
        <v>164</v>
      </c>
      <c r="AK52" s="25" t="s">
        <v>164</v>
      </c>
      <c r="AL52" s="25" t="s">
        <v>164</v>
      </c>
      <c r="AM52" s="22"/>
      <c r="AN52" s="22"/>
      <c r="AO52" s="43">
        <f t="shared" si="3"/>
        <v>0</v>
      </c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 t="s">
        <v>164</v>
      </c>
      <c r="BF52" s="22" t="s">
        <v>164</v>
      </c>
      <c r="BG52" s="22" t="s">
        <v>164</v>
      </c>
      <c r="BH52" s="22" t="s">
        <v>164</v>
      </c>
      <c r="BI52" s="22"/>
      <c r="BJ52" s="22" t="s">
        <v>164</v>
      </c>
      <c r="BK52" s="22"/>
      <c r="BL52" s="22" t="s">
        <v>164</v>
      </c>
      <c r="BM52" s="22"/>
      <c r="BN52" s="22" t="s">
        <v>164</v>
      </c>
      <c r="BO52" s="22"/>
      <c r="BP52" s="22"/>
      <c r="BQ52" s="22"/>
      <c r="BR52" s="22" t="s">
        <v>164</v>
      </c>
      <c r="BS52" s="22"/>
      <c r="BT52" s="22" t="s">
        <v>164</v>
      </c>
      <c r="BU52" s="22"/>
      <c r="BV52" s="22"/>
      <c r="BW52" s="22"/>
      <c r="BX52" s="22" t="s">
        <v>164</v>
      </c>
      <c r="BY52" s="22"/>
      <c r="BZ52" s="22" t="s">
        <v>164</v>
      </c>
      <c r="CA52" s="22"/>
      <c r="CB52" s="22" t="s">
        <v>164</v>
      </c>
      <c r="CC52" s="22"/>
      <c r="CD52" s="22" t="s">
        <v>164</v>
      </c>
      <c r="CE52" s="25" t="s">
        <v>164</v>
      </c>
      <c r="CF52" s="25" t="s">
        <v>164</v>
      </c>
      <c r="CG52" s="25" t="s">
        <v>164</v>
      </c>
      <c r="CH52" s="25" t="s">
        <v>164</v>
      </c>
      <c r="CI52" s="25" t="s">
        <v>164</v>
      </c>
      <c r="CJ52" s="25" t="s">
        <v>164</v>
      </c>
      <c r="CK52" s="25" t="s">
        <v>164</v>
      </c>
      <c r="CL52" s="25" t="s">
        <v>164</v>
      </c>
      <c r="CM52" s="25" t="s">
        <v>164</v>
      </c>
      <c r="CN52" s="25" t="s">
        <v>164</v>
      </c>
      <c r="CO52" s="25" t="s">
        <v>164</v>
      </c>
      <c r="CP52" s="25" t="s">
        <v>164</v>
      </c>
      <c r="CQ52" s="25" t="s">
        <v>164</v>
      </c>
      <c r="CR52" s="25" t="s">
        <v>164</v>
      </c>
      <c r="CS52" s="25" t="s">
        <v>164</v>
      </c>
      <c r="CT52" s="25" t="s">
        <v>164</v>
      </c>
      <c r="CU52" s="25" t="s">
        <v>164</v>
      </c>
      <c r="CV52" s="25" t="s">
        <v>164</v>
      </c>
      <c r="CW52" s="37" t="s">
        <v>166</v>
      </c>
      <c r="CX52" s="75">
        <v>3.74</v>
      </c>
      <c r="CY52" s="75">
        <v>-4.89</v>
      </c>
      <c r="CZ52" s="50" t="s">
        <v>166</v>
      </c>
      <c r="DA52" s="33" t="s">
        <v>164</v>
      </c>
      <c r="DB52" s="33" t="s">
        <v>164</v>
      </c>
      <c r="DC52" s="33" t="s">
        <v>164</v>
      </c>
      <c r="DD52" s="33" t="s">
        <v>164</v>
      </c>
      <c r="DE52" s="33" t="s">
        <v>164</v>
      </c>
      <c r="DF52" s="33" t="s">
        <v>164</v>
      </c>
      <c r="DG52" s="33" t="s">
        <v>164</v>
      </c>
      <c r="DH52" s="33" t="s">
        <v>164</v>
      </c>
      <c r="DI52" s="33" t="s">
        <v>164</v>
      </c>
      <c r="DJ52" s="49" t="s">
        <v>166</v>
      </c>
      <c r="DK52" s="52">
        <v>0.52</v>
      </c>
      <c r="DL52" s="52">
        <v>5.6</v>
      </c>
      <c r="DM52" s="52">
        <v>88.14</v>
      </c>
      <c r="DN52" s="52">
        <v>2535.74</v>
      </c>
      <c r="DO52" s="52">
        <v>0.357855467</v>
      </c>
      <c r="DP52" s="52">
        <v>2.47</v>
      </c>
      <c r="DQ52" s="52">
        <v>0.27</v>
      </c>
      <c r="DR52" s="52">
        <v>3.26</v>
      </c>
      <c r="DS52" s="52">
        <v>60.53</v>
      </c>
      <c r="DT52" s="52">
        <v>190.78</v>
      </c>
      <c r="DU52" s="52">
        <v>0.19</v>
      </c>
      <c r="DV52" s="52">
        <v>2.41</v>
      </c>
      <c r="DW52" s="52">
        <v>0.68</v>
      </c>
      <c r="DX52" s="52">
        <v>16.84</v>
      </c>
      <c r="DY52" s="52">
        <v>0.09</v>
      </c>
      <c r="DZ52" s="52">
        <v>0.69</v>
      </c>
      <c r="EA52" s="52">
        <v>0.09</v>
      </c>
      <c r="EB52" s="52">
        <v>161.84</v>
      </c>
      <c r="EC52" s="52">
        <v>3.68</v>
      </c>
      <c r="ED52" s="52">
        <v>0.24</v>
      </c>
      <c r="EE52" s="52">
        <v>0.01</v>
      </c>
      <c r="EF52" s="52">
        <v>0.01</v>
      </c>
      <c r="EG52" s="52">
        <v>1.19</v>
      </c>
      <c r="EH52" s="52">
        <v>0.11</v>
      </c>
      <c r="EI52" s="52">
        <v>0.01</v>
      </c>
      <c r="EJ52" s="52">
        <v>3.3</v>
      </c>
      <c r="EK52" s="52">
        <v>1.45</v>
      </c>
      <c r="EL52" s="52">
        <v>0.38</v>
      </c>
      <c r="EM52" s="52">
        <v>0.99</v>
      </c>
      <c r="EN52" s="52">
        <v>0.17</v>
      </c>
      <c r="EO52" s="52">
        <v>0.04</v>
      </c>
      <c r="EP52" s="52">
        <v>0.13</v>
      </c>
      <c r="EQ52" s="52">
        <v>0.31</v>
      </c>
      <c r="ER52" s="52">
        <v>0.22</v>
      </c>
      <c r="ES52" s="52">
        <v>0.18</v>
      </c>
      <c r="ET52" s="52">
        <v>0.006825875</v>
      </c>
      <c r="EU52" s="52">
        <v>6.4</v>
      </c>
      <c r="EV52" s="52">
        <v>1.85</v>
      </c>
      <c r="EW52" s="52">
        <v>5.76</v>
      </c>
      <c r="EX52" s="52">
        <v>0.02</v>
      </c>
      <c r="EY52" s="52">
        <v>0.05</v>
      </c>
      <c r="EZ52" s="40"/>
      <c r="FA52" s="34"/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34"/>
      <c r="FS52" s="34"/>
      <c r="FT52" s="34"/>
      <c r="FU52" s="34"/>
      <c r="FV52" s="34"/>
      <c r="FW52" s="34"/>
      <c r="FX52" s="34"/>
      <c r="FY52" s="34"/>
      <c r="FZ52" s="34"/>
      <c r="GA52" s="34"/>
    </row>
    <row r="53" ht="15.75" customHeight="1">
      <c r="A53" s="20" t="s">
        <v>266</v>
      </c>
      <c r="B53" s="20"/>
      <c r="C53" s="21"/>
      <c r="D53" s="21"/>
      <c r="E53" s="21"/>
      <c r="F53" s="21"/>
      <c r="G53" s="21"/>
      <c r="H53" s="21"/>
      <c r="I53" s="21"/>
      <c r="J53" s="22"/>
      <c r="K53" s="48" t="s">
        <v>267</v>
      </c>
      <c r="L53" s="23"/>
      <c r="M53" s="23"/>
      <c r="N53" s="23"/>
      <c r="O53" s="20" t="s">
        <v>268</v>
      </c>
      <c r="P53" s="76"/>
      <c r="Q53" s="24" t="str">
        <f t="shared" si="1"/>
        <v>fine-grained, veined, white marble</v>
      </c>
      <c r="R53" s="22" t="s">
        <v>180</v>
      </c>
      <c r="S53" s="22" t="s">
        <v>189</v>
      </c>
      <c r="T53" s="22" t="s">
        <v>206</v>
      </c>
      <c r="U53" s="22" t="s">
        <v>233</v>
      </c>
      <c r="V53" s="22" t="s">
        <v>166</v>
      </c>
      <c r="W53" s="20" t="s">
        <v>166</v>
      </c>
      <c r="X53" s="22">
        <v>0.4</v>
      </c>
      <c r="Y53" s="22" t="s">
        <v>209</v>
      </c>
      <c r="Z53" s="22" t="s">
        <v>269</v>
      </c>
      <c r="AA53" s="25"/>
      <c r="AB53" s="49" t="s">
        <v>166</v>
      </c>
      <c r="AC53" s="49">
        <v>0.9</v>
      </c>
      <c r="AD53" s="57" t="s">
        <v>191</v>
      </c>
      <c r="AE53" s="26" t="s">
        <v>270</v>
      </c>
      <c r="AF53" s="25" t="s">
        <v>164</v>
      </c>
      <c r="AG53" s="49" t="s">
        <v>166</v>
      </c>
      <c r="AH53" s="25" t="s">
        <v>164</v>
      </c>
      <c r="AI53" s="25" t="s">
        <v>164</v>
      </c>
      <c r="AJ53" s="25" t="s">
        <v>164</v>
      </c>
      <c r="AK53" s="49" t="s">
        <v>166</v>
      </c>
      <c r="AL53" s="25" t="s">
        <v>164</v>
      </c>
      <c r="AM53" s="22"/>
      <c r="AN53" s="22"/>
      <c r="AO53" s="43">
        <f t="shared" si="3"/>
        <v>0</v>
      </c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 t="s">
        <v>164</v>
      </c>
      <c r="BF53" s="22" t="s">
        <v>164</v>
      </c>
      <c r="BG53" s="22" t="s">
        <v>164</v>
      </c>
      <c r="BH53" s="22" t="s">
        <v>164</v>
      </c>
      <c r="BI53" s="22"/>
      <c r="BJ53" s="22" t="s">
        <v>164</v>
      </c>
      <c r="BK53" s="22"/>
      <c r="BL53" s="22" t="s">
        <v>164</v>
      </c>
      <c r="BM53" s="22"/>
      <c r="BN53" s="22" t="s">
        <v>164</v>
      </c>
      <c r="BO53" s="22"/>
      <c r="BP53" s="22"/>
      <c r="BQ53" s="22"/>
      <c r="BR53" s="22" t="s">
        <v>164</v>
      </c>
      <c r="BS53" s="22"/>
      <c r="BT53" s="22" t="s">
        <v>164</v>
      </c>
      <c r="BU53" s="22"/>
      <c r="BV53" s="22"/>
      <c r="BW53" s="22"/>
      <c r="BX53" s="22" t="s">
        <v>164</v>
      </c>
      <c r="BY53" s="22"/>
      <c r="BZ53" s="22" t="s">
        <v>164</v>
      </c>
      <c r="CA53" s="22"/>
      <c r="CB53" s="22" t="s">
        <v>164</v>
      </c>
      <c r="CC53" s="22"/>
      <c r="CD53" s="22" t="s">
        <v>164</v>
      </c>
      <c r="CE53" s="25" t="s">
        <v>164</v>
      </c>
      <c r="CF53" s="25" t="s">
        <v>164</v>
      </c>
      <c r="CG53" s="25" t="s">
        <v>164</v>
      </c>
      <c r="CH53" s="25" t="s">
        <v>164</v>
      </c>
      <c r="CI53" s="25" t="s">
        <v>164</v>
      </c>
      <c r="CJ53" s="25" t="s">
        <v>164</v>
      </c>
      <c r="CK53" s="25" t="s">
        <v>164</v>
      </c>
      <c r="CL53" s="25" t="s">
        <v>164</v>
      </c>
      <c r="CM53" s="25" t="s">
        <v>164</v>
      </c>
      <c r="CN53" s="25" t="s">
        <v>164</v>
      </c>
      <c r="CO53" s="25" t="s">
        <v>164</v>
      </c>
      <c r="CP53" s="25" t="s">
        <v>164</v>
      </c>
      <c r="CQ53" s="25" t="s">
        <v>164</v>
      </c>
      <c r="CR53" s="25" t="s">
        <v>164</v>
      </c>
      <c r="CS53" s="25" t="s">
        <v>164</v>
      </c>
      <c r="CT53" s="25" t="s">
        <v>164</v>
      </c>
      <c r="CU53" s="25" t="s">
        <v>164</v>
      </c>
      <c r="CV53" s="25" t="s">
        <v>164</v>
      </c>
      <c r="CW53" s="77" t="s">
        <v>166</v>
      </c>
      <c r="CX53" s="75">
        <v>3.35</v>
      </c>
      <c r="CY53" s="75">
        <v>-2.61</v>
      </c>
      <c r="CZ53" s="50" t="s">
        <v>166</v>
      </c>
      <c r="DA53" s="33" t="s">
        <v>164</v>
      </c>
      <c r="DB53" s="33" t="s">
        <v>164</v>
      </c>
      <c r="DC53" s="33" t="s">
        <v>164</v>
      </c>
      <c r="DD53" s="33" t="s">
        <v>164</v>
      </c>
      <c r="DE53" s="33" t="s">
        <v>164</v>
      </c>
      <c r="DF53" s="33" t="s">
        <v>164</v>
      </c>
      <c r="DG53" s="33" t="s">
        <v>164</v>
      </c>
      <c r="DH53" s="33" t="s">
        <v>164</v>
      </c>
      <c r="DI53" s="33" t="s">
        <v>164</v>
      </c>
      <c r="DJ53" s="49" t="s">
        <v>166</v>
      </c>
      <c r="DK53" s="52">
        <v>0.57</v>
      </c>
      <c r="DL53" s="52">
        <v>6.15</v>
      </c>
      <c r="DM53" s="52">
        <v>155.42</v>
      </c>
      <c r="DN53" s="52">
        <v>1674.18</v>
      </c>
      <c r="DO53" s="52">
        <v>0.082775596</v>
      </c>
      <c r="DP53" s="52">
        <v>5.76</v>
      </c>
      <c r="DQ53" s="52">
        <v>0.51</v>
      </c>
      <c r="DR53" s="52">
        <v>3.86</v>
      </c>
      <c r="DS53" s="52">
        <v>9.13</v>
      </c>
      <c r="DT53" s="52">
        <v>200.73</v>
      </c>
      <c r="DU53" s="52">
        <v>0.18</v>
      </c>
      <c r="DV53" s="52">
        <v>3.05</v>
      </c>
      <c r="DW53" s="52">
        <v>1.7</v>
      </c>
      <c r="DX53" s="52">
        <v>7.45</v>
      </c>
      <c r="DY53" s="52">
        <v>0.28</v>
      </c>
      <c r="DZ53" s="52">
        <v>0.17</v>
      </c>
      <c r="EA53" s="52">
        <v>0.23</v>
      </c>
      <c r="EB53" s="52">
        <v>262.27</v>
      </c>
      <c r="EC53" s="52">
        <v>0.23</v>
      </c>
      <c r="ED53" s="52">
        <v>0.04</v>
      </c>
      <c r="EE53" s="52">
        <v>0.02</v>
      </c>
      <c r="EF53" s="52">
        <v>0.01</v>
      </c>
      <c r="EG53" s="52">
        <v>0.11</v>
      </c>
      <c r="EH53" s="52">
        <v>0.22</v>
      </c>
      <c r="EI53" s="52">
        <v>0.02</v>
      </c>
      <c r="EJ53" s="52">
        <v>10.22</v>
      </c>
      <c r="EK53" s="52">
        <v>0.26</v>
      </c>
      <c r="EL53" s="52">
        <v>0.36</v>
      </c>
      <c r="EM53" s="52">
        <v>0.2</v>
      </c>
      <c r="EN53" s="52">
        <v>0.04</v>
      </c>
      <c r="EO53" s="52">
        <v>0.01</v>
      </c>
      <c r="EP53" s="52">
        <v>0.05</v>
      </c>
      <c r="EQ53" s="52">
        <v>0.03</v>
      </c>
      <c r="ER53" s="52">
        <v>0.03</v>
      </c>
      <c r="ES53" s="52">
        <v>0.02</v>
      </c>
      <c r="ET53" s="52">
        <v>9.32807E-4</v>
      </c>
      <c r="EU53" s="52">
        <v>2.67</v>
      </c>
      <c r="EV53" s="52">
        <v>3.53</v>
      </c>
      <c r="EW53" s="52">
        <v>26.7</v>
      </c>
      <c r="EX53" s="52">
        <v>0.08</v>
      </c>
      <c r="EY53" s="52">
        <v>1.46</v>
      </c>
      <c r="EZ53" s="40"/>
      <c r="FA53" s="34"/>
      <c r="FB53" s="34"/>
      <c r="FC53" s="34"/>
      <c r="FD53" s="34"/>
      <c r="FE53" s="34"/>
      <c r="FF53" s="34"/>
      <c r="FG53" s="34"/>
      <c r="FH53" s="34"/>
      <c r="FI53" s="34"/>
      <c r="FJ53" s="34"/>
      <c r="FK53" s="34"/>
      <c r="FL53" s="34"/>
      <c r="FM53" s="34"/>
      <c r="FN53" s="34"/>
      <c r="FO53" s="34"/>
      <c r="FP53" s="34"/>
      <c r="FQ53" s="34"/>
      <c r="FR53" s="34"/>
      <c r="FS53" s="34"/>
      <c r="FT53" s="34"/>
      <c r="FU53" s="34"/>
      <c r="FV53" s="34"/>
      <c r="FW53" s="34"/>
      <c r="FX53" s="34"/>
      <c r="FY53" s="34"/>
      <c r="FZ53" s="34"/>
      <c r="GA53" s="34"/>
    </row>
    <row r="54" ht="15.75" customHeight="1">
      <c r="A54" s="78" t="s">
        <v>271</v>
      </c>
      <c r="B54" s="78"/>
      <c r="C54" s="21"/>
      <c r="D54" s="21"/>
      <c r="E54" s="21"/>
      <c r="F54" s="21"/>
      <c r="G54" s="21"/>
      <c r="H54" s="21"/>
      <c r="I54" s="21"/>
      <c r="J54" s="79"/>
      <c r="K54" s="80"/>
      <c r="L54" s="80"/>
      <c r="M54" s="80"/>
      <c r="N54" s="80"/>
      <c r="O54" s="21" t="s">
        <v>164</v>
      </c>
      <c r="P54" s="35"/>
      <c r="Q54" s="81" t="str">
        <f t="shared" si="1"/>
        <v>-grained, ,  marble</v>
      </c>
      <c r="R54" s="79" t="s">
        <v>164</v>
      </c>
      <c r="S54" s="79" t="s">
        <v>164</v>
      </c>
      <c r="T54" s="79" t="s">
        <v>164</v>
      </c>
      <c r="U54" s="79" t="s">
        <v>164</v>
      </c>
      <c r="V54" s="79" t="s">
        <v>164</v>
      </c>
      <c r="W54" s="79"/>
      <c r="X54" s="79" t="s">
        <v>164</v>
      </c>
      <c r="Y54" s="79" t="s">
        <v>164</v>
      </c>
      <c r="Z54" s="79" t="s">
        <v>164</v>
      </c>
      <c r="AA54" s="82"/>
      <c r="AB54" s="82"/>
      <c r="AC54" s="82" t="s">
        <v>164</v>
      </c>
      <c r="AD54" s="82" t="s">
        <v>164</v>
      </c>
      <c r="AE54" s="83"/>
      <c r="AF54" s="82" t="s">
        <v>164</v>
      </c>
      <c r="AG54" s="82" t="s">
        <v>164</v>
      </c>
      <c r="AH54" s="82" t="s">
        <v>164</v>
      </c>
      <c r="AI54" s="82" t="s">
        <v>164</v>
      </c>
      <c r="AJ54" s="82" t="s">
        <v>164</v>
      </c>
      <c r="AK54" s="82" t="s">
        <v>164</v>
      </c>
      <c r="AL54" s="82" t="s">
        <v>164</v>
      </c>
      <c r="AM54" s="79"/>
      <c r="AN54" s="79"/>
      <c r="AO54" s="84">
        <f t="shared" si="3"/>
        <v>0</v>
      </c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 t="s">
        <v>164</v>
      </c>
      <c r="BF54" s="79" t="s">
        <v>164</v>
      </c>
      <c r="BG54" s="79" t="s">
        <v>164</v>
      </c>
      <c r="BH54" s="79" t="s">
        <v>164</v>
      </c>
      <c r="BI54" s="79"/>
      <c r="BJ54" s="79" t="s">
        <v>164</v>
      </c>
      <c r="BK54" s="79"/>
      <c r="BL54" s="79" t="s">
        <v>164</v>
      </c>
      <c r="BM54" s="79"/>
      <c r="BN54" s="79" t="s">
        <v>164</v>
      </c>
      <c r="BO54" s="79"/>
      <c r="BP54" s="79"/>
      <c r="BQ54" s="79"/>
      <c r="BR54" s="79" t="s">
        <v>164</v>
      </c>
      <c r="BS54" s="79"/>
      <c r="BT54" s="79" t="s">
        <v>164</v>
      </c>
      <c r="BU54" s="79"/>
      <c r="BV54" s="79"/>
      <c r="BW54" s="79"/>
      <c r="BX54" s="79" t="s">
        <v>164</v>
      </c>
      <c r="BY54" s="79"/>
      <c r="BZ54" s="79" t="s">
        <v>164</v>
      </c>
      <c r="CA54" s="79"/>
      <c r="CB54" s="79" t="s">
        <v>164</v>
      </c>
      <c r="CC54" s="79"/>
      <c r="CD54" s="79" t="s">
        <v>164</v>
      </c>
      <c r="CE54" s="82" t="s">
        <v>164</v>
      </c>
      <c r="CF54" s="82" t="s">
        <v>164</v>
      </c>
      <c r="CG54" s="82" t="s">
        <v>164</v>
      </c>
      <c r="CH54" s="82" t="s">
        <v>164</v>
      </c>
      <c r="CI54" s="82" t="s">
        <v>164</v>
      </c>
      <c r="CJ54" s="82" t="s">
        <v>164</v>
      </c>
      <c r="CK54" s="82" t="s">
        <v>164</v>
      </c>
      <c r="CL54" s="82" t="s">
        <v>164</v>
      </c>
      <c r="CM54" s="82" t="s">
        <v>164</v>
      </c>
      <c r="CN54" s="82" t="s">
        <v>164</v>
      </c>
      <c r="CO54" s="82" t="s">
        <v>164</v>
      </c>
      <c r="CP54" s="82" t="s">
        <v>164</v>
      </c>
      <c r="CQ54" s="82" t="s">
        <v>164</v>
      </c>
      <c r="CR54" s="82" t="s">
        <v>164</v>
      </c>
      <c r="CS54" s="82" t="s">
        <v>164</v>
      </c>
      <c r="CT54" s="82" t="s">
        <v>164</v>
      </c>
      <c r="CU54" s="82" t="s">
        <v>164</v>
      </c>
      <c r="CV54" s="82" t="s">
        <v>164</v>
      </c>
      <c r="CW54" s="77" t="s">
        <v>166</v>
      </c>
      <c r="CX54" s="85">
        <v>2.95</v>
      </c>
      <c r="CY54" s="85">
        <v>-1.76</v>
      </c>
      <c r="CZ54" s="33"/>
      <c r="DA54" s="33" t="s">
        <v>164</v>
      </c>
      <c r="DB54" s="33" t="s">
        <v>164</v>
      </c>
      <c r="DC54" s="33" t="s">
        <v>164</v>
      </c>
      <c r="DD54" s="33" t="s">
        <v>164</v>
      </c>
      <c r="DE54" s="33" t="s">
        <v>164</v>
      </c>
      <c r="DF54" s="33" t="s">
        <v>164</v>
      </c>
      <c r="DG54" s="33" t="s">
        <v>164</v>
      </c>
      <c r="DH54" s="33" t="s">
        <v>164</v>
      </c>
      <c r="DI54" s="33" t="s">
        <v>164</v>
      </c>
      <c r="DJ54" s="82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3"/>
      <c r="EP54" s="33"/>
      <c r="EQ54" s="33"/>
      <c r="ER54" s="33"/>
      <c r="ES54" s="33"/>
      <c r="ET54" s="33"/>
      <c r="EU54" s="33"/>
      <c r="EV54" s="33"/>
      <c r="EW54" s="33"/>
      <c r="EX54" s="33"/>
      <c r="EY54" s="33"/>
      <c r="EZ54" s="33"/>
      <c r="FA54" s="34"/>
      <c r="FB54" s="34"/>
      <c r="FC54" s="34"/>
      <c r="FD54" s="34"/>
      <c r="FE54" s="34"/>
      <c r="FF54" s="34"/>
      <c r="FG54" s="34"/>
      <c r="FH54" s="34"/>
      <c r="FI54" s="34"/>
      <c r="FJ54" s="34"/>
      <c r="FK54" s="34"/>
      <c r="FL54" s="34"/>
      <c r="FM54" s="34"/>
      <c r="FN54" s="34"/>
      <c r="FO54" s="34"/>
      <c r="FP54" s="34"/>
      <c r="FQ54" s="34"/>
      <c r="FR54" s="34"/>
      <c r="FS54" s="34"/>
      <c r="FT54" s="34"/>
      <c r="FU54" s="34"/>
      <c r="FV54" s="34"/>
      <c r="FW54" s="34"/>
      <c r="FX54" s="34"/>
      <c r="FY54" s="34"/>
      <c r="FZ54" s="34"/>
      <c r="GA54" s="34"/>
    </row>
    <row r="55" ht="15.75" customHeight="1">
      <c r="A55" s="86" t="s">
        <v>272</v>
      </c>
      <c r="B55" s="86"/>
      <c r="C55" s="21"/>
      <c r="D55" s="21"/>
      <c r="E55" s="21"/>
      <c r="F55" s="21"/>
      <c r="G55" s="21"/>
      <c r="H55" s="21"/>
      <c r="I55" s="21"/>
      <c r="J55" s="21"/>
      <c r="K55" s="87"/>
      <c r="L55" s="87"/>
      <c r="M55" s="87"/>
      <c r="N55" s="87"/>
      <c r="O55" s="21"/>
      <c r="P55" s="35"/>
      <c r="Q55" s="35" t="str">
        <f t="shared" si="1"/>
        <v>very fine-grained, homogeneous, white marble</v>
      </c>
      <c r="R55" s="86" t="s">
        <v>188</v>
      </c>
      <c r="S55" s="86" t="s">
        <v>189</v>
      </c>
      <c r="T55" s="86" t="s">
        <v>194</v>
      </c>
      <c r="U55" s="86" t="s">
        <v>195</v>
      </c>
      <c r="V55" s="21"/>
      <c r="W55" s="86" t="s">
        <v>166</v>
      </c>
      <c r="X55" s="86">
        <v>0.3</v>
      </c>
      <c r="Y55" s="86" t="s">
        <v>196</v>
      </c>
      <c r="Z55" s="86" t="s">
        <v>245</v>
      </c>
      <c r="AA55" s="33"/>
      <c r="AB55" s="33"/>
      <c r="AC55" s="33"/>
      <c r="AD55" s="33"/>
      <c r="AE55" s="88"/>
      <c r="AF55" s="33"/>
      <c r="AG55" s="33"/>
      <c r="AH55" s="33"/>
      <c r="AI55" s="33"/>
      <c r="AJ55" s="33"/>
      <c r="AK55" s="33"/>
      <c r="AL55" s="33"/>
      <c r="AM55" s="21"/>
      <c r="AN55" s="21"/>
      <c r="AO55" s="89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90"/>
      <c r="CX55" s="91"/>
      <c r="CY55" s="91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</row>
    <row r="56" ht="15.75" customHeight="1">
      <c r="A56" s="92" t="s">
        <v>273</v>
      </c>
      <c r="B56" s="92"/>
      <c r="C56" s="21"/>
      <c r="D56" s="21"/>
      <c r="E56" s="21"/>
      <c r="F56" s="21"/>
      <c r="G56" s="21"/>
      <c r="H56" s="21"/>
      <c r="I56" s="21"/>
      <c r="J56" s="93"/>
      <c r="K56" s="87"/>
      <c r="L56" s="87"/>
      <c r="M56" s="87"/>
      <c r="N56" s="87"/>
      <c r="O56" s="93"/>
      <c r="P56" s="94"/>
      <c r="Q56" s="94" t="str">
        <f t="shared" si="1"/>
        <v>fine-grained, banded, white marble</v>
      </c>
      <c r="R56" s="92" t="s">
        <v>180</v>
      </c>
      <c r="S56" s="92" t="s">
        <v>189</v>
      </c>
      <c r="T56" s="92" t="s">
        <v>182</v>
      </c>
      <c r="U56" s="92" t="s">
        <v>181</v>
      </c>
      <c r="V56" s="93"/>
      <c r="W56" s="92" t="s">
        <v>166</v>
      </c>
      <c r="X56" s="92">
        <v>1.6</v>
      </c>
      <c r="Y56" s="92" t="s">
        <v>183</v>
      </c>
      <c r="Z56" s="92" t="s">
        <v>198</v>
      </c>
      <c r="AA56" s="95"/>
      <c r="AB56" s="95"/>
      <c r="AC56" s="95"/>
      <c r="AD56" s="95"/>
      <c r="AE56" s="96"/>
      <c r="AF56" s="95"/>
      <c r="AG56" s="95"/>
      <c r="AH56" s="95"/>
      <c r="AI56" s="95"/>
      <c r="AJ56" s="95"/>
      <c r="AK56" s="95"/>
      <c r="AL56" s="95"/>
      <c r="AM56" s="93"/>
      <c r="AN56" s="93"/>
      <c r="AO56" s="97"/>
      <c r="AP56" s="93"/>
      <c r="AQ56" s="93"/>
      <c r="AR56" s="93"/>
      <c r="AS56" s="93"/>
      <c r="AT56" s="93"/>
      <c r="AU56" s="93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3"/>
      <c r="BG56" s="93"/>
      <c r="BH56" s="93"/>
      <c r="BI56" s="93"/>
      <c r="BJ56" s="93"/>
      <c r="BK56" s="93"/>
      <c r="BL56" s="93"/>
      <c r="BM56" s="93"/>
      <c r="BN56" s="93"/>
      <c r="BO56" s="93"/>
      <c r="BP56" s="93"/>
      <c r="BQ56" s="93"/>
      <c r="BR56" s="93"/>
      <c r="BS56" s="93"/>
      <c r="BT56" s="93"/>
      <c r="BU56" s="93"/>
      <c r="BV56" s="93"/>
      <c r="BW56" s="93"/>
      <c r="BX56" s="93"/>
      <c r="BY56" s="93"/>
      <c r="BZ56" s="93"/>
      <c r="CA56" s="93"/>
      <c r="CB56" s="93"/>
      <c r="CC56" s="93"/>
      <c r="CD56" s="93"/>
      <c r="CE56" s="95"/>
      <c r="CF56" s="95"/>
      <c r="CG56" s="95"/>
      <c r="CH56" s="95"/>
      <c r="CI56" s="95"/>
      <c r="CJ56" s="95"/>
      <c r="CK56" s="95"/>
      <c r="CL56" s="95"/>
      <c r="CM56" s="95"/>
      <c r="CN56" s="95"/>
      <c r="CO56" s="95"/>
      <c r="CP56" s="95"/>
      <c r="CQ56" s="95"/>
      <c r="CR56" s="95"/>
      <c r="CS56" s="95"/>
      <c r="CT56" s="95"/>
      <c r="CU56" s="95"/>
      <c r="CV56" s="95"/>
      <c r="CW56" s="46"/>
      <c r="CX56" s="91"/>
      <c r="CY56" s="91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95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</row>
    <row r="57" ht="15.75" customHeight="1">
      <c r="A57" s="20" t="s">
        <v>274</v>
      </c>
      <c r="B57" s="20"/>
      <c r="C57" s="21"/>
      <c r="D57" s="21"/>
      <c r="E57" s="21"/>
      <c r="F57" s="21"/>
      <c r="G57" s="21"/>
      <c r="H57" s="21"/>
      <c r="I57" s="21"/>
      <c r="J57" s="22"/>
      <c r="K57" s="87"/>
      <c r="L57" s="87"/>
      <c r="M57" s="87"/>
      <c r="N57" s="87"/>
      <c r="O57" s="22"/>
      <c r="P57" s="24"/>
      <c r="Q57" s="24" t="str">
        <f t="shared" si="1"/>
        <v>medium-grained, banded, white marble</v>
      </c>
      <c r="R57" s="20" t="s">
        <v>205</v>
      </c>
      <c r="S57" s="20" t="s">
        <v>189</v>
      </c>
      <c r="T57" s="20" t="s">
        <v>182</v>
      </c>
      <c r="U57" s="20" t="s">
        <v>181</v>
      </c>
      <c r="V57" s="22"/>
      <c r="W57" s="20" t="s">
        <v>166</v>
      </c>
      <c r="X57" s="20">
        <v>2.5</v>
      </c>
      <c r="Y57" s="20" t="s">
        <v>209</v>
      </c>
      <c r="Z57" s="20" t="s">
        <v>198</v>
      </c>
      <c r="AA57" s="25"/>
      <c r="AB57" s="25"/>
      <c r="AC57" s="25"/>
      <c r="AD57" s="25"/>
      <c r="AE57" s="53"/>
      <c r="AF57" s="25"/>
      <c r="AG57" s="25"/>
      <c r="AH57" s="25"/>
      <c r="AI57" s="25"/>
      <c r="AJ57" s="25"/>
      <c r="AK57" s="25"/>
      <c r="AL57" s="25"/>
      <c r="AM57" s="22"/>
      <c r="AN57" s="22"/>
      <c r="AO57" s="43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46"/>
      <c r="CX57" s="91"/>
      <c r="CY57" s="91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25"/>
      <c r="DK57" s="33"/>
      <c r="DL57" s="33"/>
      <c r="DM57" s="33"/>
      <c r="DN57" s="33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/>
      <c r="DZ57" s="33"/>
      <c r="EA57" s="33"/>
      <c r="EB57" s="33"/>
      <c r="EC57" s="33"/>
      <c r="ED57" s="33"/>
      <c r="EE57" s="33"/>
      <c r="EF57" s="33"/>
      <c r="EG57" s="33"/>
      <c r="EH57" s="33"/>
      <c r="EI57" s="33"/>
      <c r="EJ57" s="33"/>
      <c r="EK57" s="33"/>
      <c r="EL57" s="33"/>
      <c r="EM57" s="33"/>
      <c r="EN57" s="33"/>
      <c r="EO57" s="33"/>
      <c r="EP57" s="33"/>
      <c r="EQ57" s="33"/>
      <c r="ER57" s="33"/>
      <c r="ES57" s="33"/>
      <c r="ET57" s="33"/>
      <c r="EU57" s="33"/>
      <c r="EV57" s="33"/>
      <c r="EW57" s="33"/>
      <c r="EX57" s="33"/>
      <c r="EY57" s="33"/>
      <c r="EZ57" s="33"/>
      <c r="FA57" s="33"/>
      <c r="FB57" s="33"/>
      <c r="FC57" s="33"/>
      <c r="FD57" s="33"/>
      <c r="FE57" s="33"/>
      <c r="FF57" s="33"/>
      <c r="FG57" s="33"/>
      <c r="FH57" s="33"/>
      <c r="FI57" s="33"/>
      <c r="FJ57" s="33"/>
      <c r="FK57" s="33"/>
      <c r="FL57" s="33"/>
      <c r="FM57" s="33"/>
      <c r="FN57" s="33"/>
      <c r="FO57" s="33"/>
      <c r="FP57" s="33"/>
      <c r="FQ57" s="33"/>
      <c r="FR57" s="33"/>
      <c r="FS57" s="33"/>
      <c r="FT57" s="33"/>
      <c r="FU57" s="33"/>
      <c r="FV57" s="33"/>
      <c r="FW57" s="33"/>
      <c r="FX57" s="33"/>
      <c r="FY57" s="33"/>
      <c r="FZ57" s="33"/>
      <c r="GA57" s="33"/>
    </row>
    <row r="58" ht="15.75" customHeight="1">
      <c r="A58" s="20" t="s">
        <v>275</v>
      </c>
      <c r="B58" s="20"/>
      <c r="C58" s="21"/>
      <c r="D58" s="21"/>
      <c r="E58" s="21"/>
      <c r="F58" s="21"/>
      <c r="G58" s="21"/>
      <c r="H58" s="21"/>
      <c r="I58" s="21"/>
      <c r="J58" s="22"/>
      <c r="K58" s="23"/>
      <c r="L58" s="23"/>
      <c r="M58" s="23"/>
      <c r="N58" s="23"/>
      <c r="O58" s="22"/>
      <c r="P58" s="24"/>
      <c r="Q58" s="24" t="str">
        <f t="shared" si="1"/>
        <v>fine-grained, homogeneous, grey marble</v>
      </c>
      <c r="R58" s="20" t="s">
        <v>180</v>
      </c>
      <c r="S58" s="20" t="s">
        <v>181</v>
      </c>
      <c r="T58" s="20" t="s">
        <v>194</v>
      </c>
      <c r="U58" s="20" t="s">
        <v>195</v>
      </c>
      <c r="V58" s="22"/>
      <c r="W58" s="20" t="s">
        <v>166</v>
      </c>
      <c r="X58" s="20">
        <v>0.8</v>
      </c>
      <c r="Y58" s="20" t="s">
        <v>209</v>
      </c>
      <c r="Z58" s="20" t="s">
        <v>219</v>
      </c>
      <c r="AA58" s="25"/>
      <c r="AB58" s="25"/>
      <c r="AC58" s="25"/>
      <c r="AD58" s="25"/>
      <c r="AE58" s="53"/>
      <c r="AF58" s="25"/>
      <c r="AG58" s="25"/>
      <c r="AH58" s="25"/>
      <c r="AI58" s="25"/>
      <c r="AJ58" s="25"/>
      <c r="AK58" s="25"/>
      <c r="AL58" s="25"/>
      <c r="AM58" s="22"/>
      <c r="AN58" s="22"/>
      <c r="AO58" s="43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46"/>
      <c r="CX58" s="91"/>
      <c r="CY58" s="91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25"/>
      <c r="DK58" s="33"/>
      <c r="DL58" s="33"/>
      <c r="DM58" s="33"/>
      <c r="DN58" s="33"/>
      <c r="DO58" s="33"/>
      <c r="DP58" s="33"/>
      <c r="DQ58" s="33"/>
      <c r="DR58" s="33"/>
      <c r="DS58" s="33"/>
      <c r="DT58" s="33"/>
      <c r="DU58" s="33"/>
      <c r="DV58" s="33"/>
      <c r="DW58" s="33"/>
      <c r="DX58" s="33"/>
      <c r="DY58" s="33"/>
      <c r="DZ58" s="33"/>
      <c r="EA58" s="33"/>
      <c r="EB58" s="33"/>
      <c r="EC58" s="33"/>
      <c r="ED58" s="33"/>
      <c r="EE58" s="33"/>
      <c r="EF58" s="33"/>
      <c r="EG58" s="33"/>
      <c r="EH58" s="33"/>
      <c r="EI58" s="33"/>
      <c r="EJ58" s="33"/>
      <c r="EK58" s="33"/>
      <c r="EL58" s="33"/>
      <c r="EM58" s="33"/>
      <c r="EN58" s="33"/>
      <c r="EO58" s="33"/>
      <c r="EP58" s="33"/>
      <c r="EQ58" s="33"/>
      <c r="ER58" s="33"/>
      <c r="ES58" s="33"/>
      <c r="ET58" s="33"/>
      <c r="EU58" s="33"/>
      <c r="EV58" s="33"/>
      <c r="EW58" s="33"/>
      <c r="EX58" s="33"/>
      <c r="EY58" s="33"/>
      <c r="EZ58" s="33"/>
      <c r="FA58" s="33"/>
      <c r="FB58" s="33"/>
      <c r="FC58" s="33"/>
      <c r="FD58" s="33"/>
      <c r="FE58" s="33"/>
      <c r="FF58" s="33"/>
      <c r="FG58" s="33"/>
      <c r="FH58" s="33"/>
      <c r="FI58" s="33"/>
      <c r="FJ58" s="33"/>
      <c r="FK58" s="33"/>
      <c r="FL58" s="33"/>
      <c r="FM58" s="33"/>
      <c r="FN58" s="33"/>
      <c r="FO58" s="33"/>
      <c r="FP58" s="33"/>
      <c r="FQ58" s="33"/>
      <c r="FR58" s="33"/>
      <c r="FS58" s="33"/>
      <c r="FT58" s="33"/>
      <c r="FU58" s="33"/>
      <c r="FV58" s="33"/>
      <c r="FW58" s="33"/>
      <c r="FX58" s="33"/>
      <c r="FY58" s="33"/>
      <c r="FZ58" s="33"/>
      <c r="GA58" s="33"/>
    </row>
    <row r="59" ht="15.75" customHeight="1">
      <c r="A59" s="20" t="s">
        <v>276</v>
      </c>
      <c r="B59" s="20"/>
      <c r="C59" s="22"/>
      <c r="D59" s="22"/>
      <c r="E59" s="22"/>
      <c r="F59" s="22"/>
      <c r="G59" s="22"/>
      <c r="H59" s="22"/>
      <c r="I59" s="22"/>
      <c r="J59" s="22"/>
      <c r="K59" s="23"/>
      <c r="L59" s="23"/>
      <c r="M59" s="23"/>
      <c r="N59" s="23"/>
      <c r="O59" s="22"/>
      <c r="P59" s="24"/>
      <c r="Q59" s="24" t="str">
        <f t="shared" si="1"/>
        <v>very fine-grained, homogeneous, white marble</v>
      </c>
      <c r="R59" s="20" t="s">
        <v>188</v>
      </c>
      <c r="S59" s="20" t="s">
        <v>189</v>
      </c>
      <c r="T59" s="20" t="s">
        <v>194</v>
      </c>
      <c r="U59" s="20" t="s">
        <v>195</v>
      </c>
      <c r="V59" s="22"/>
      <c r="W59" s="20" t="s">
        <v>166</v>
      </c>
      <c r="X59" s="20">
        <v>0.6</v>
      </c>
      <c r="Y59" s="20" t="s">
        <v>196</v>
      </c>
      <c r="Z59" s="20" t="s">
        <v>207</v>
      </c>
      <c r="AA59" s="25"/>
      <c r="AB59" s="25"/>
      <c r="AC59" s="25"/>
      <c r="AD59" s="25"/>
      <c r="AE59" s="53"/>
      <c r="AF59" s="25"/>
      <c r="AG59" s="25"/>
      <c r="AH59" s="25"/>
      <c r="AI59" s="25"/>
      <c r="AJ59" s="25"/>
      <c r="AK59" s="25"/>
      <c r="AL59" s="25"/>
      <c r="AM59" s="22"/>
      <c r="AN59" s="22"/>
      <c r="AO59" s="43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46"/>
      <c r="CX59" s="91"/>
      <c r="CY59" s="91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</row>
    <row r="60" ht="15.75" customHeight="1">
      <c r="A60" s="20" t="s">
        <v>277</v>
      </c>
      <c r="B60" s="20"/>
      <c r="C60" s="22"/>
      <c r="D60" s="22"/>
      <c r="E60" s="22"/>
      <c r="F60" s="22"/>
      <c r="G60" s="22"/>
      <c r="H60" s="22"/>
      <c r="I60" s="22"/>
      <c r="J60" s="22"/>
      <c r="K60" s="23"/>
      <c r="L60" s="23"/>
      <c r="M60" s="23"/>
      <c r="N60" s="23"/>
      <c r="O60" s="22"/>
      <c r="P60" s="24"/>
      <c r="Q60" s="24" t="str">
        <f t="shared" si="1"/>
        <v>very fine-grained, veined, white marble</v>
      </c>
      <c r="R60" s="20" t="s">
        <v>188</v>
      </c>
      <c r="S60" s="20" t="s">
        <v>189</v>
      </c>
      <c r="T60" s="20" t="s">
        <v>206</v>
      </c>
      <c r="U60" s="20" t="s">
        <v>254</v>
      </c>
      <c r="V60" s="22"/>
      <c r="W60" s="20" t="s">
        <v>166</v>
      </c>
      <c r="X60" s="20">
        <v>0.6</v>
      </c>
      <c r="Y60" s="20" t="s">
        <v>196</v>
      </c>
      <c r="Z60" s="20" t="s">
        <v>184</v>
      </c>
      <c r="AA60" s="25"/>
      <c r="AB60" s="25"/>
      <c r="AC60" s="25"/>
      <c r="AD60" s="25"/>
      <c r="AE60" s="53"/>
      <c r="AF60" s="25"/>
      <c r="AG60" s="25"/>
      <c r="AH60" s="25"/>
      <c r="AI60" s="25"/>
      <c r="AJ60" s="25"/>
      <c r="AK60" s="25"/>
      <c r="AL60" s="25"/>
      <c r="AM60" s="22"/>
      <c r="AN60" s="22"/>
      <c r="AO60" s="43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46"/>
      <c r="CX60" s="91"/>
      <c r="CY60" s="91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33"/>
      <c r="FU60" s="33"/>
      <c r="FV60" s="33"/>
      <c r="FW60" s="33"/>
      <c r="FX60" s="33"/>
      <c r="FY60" s="33"/>
      <c r="FZ60" s="33"/>
      <c r="GA60" s="33"/>
    </row>
    <row r="61" ht="15.75" customHeight="1">
      <c r="A61" s="20" t="s">
        <v>278</v>
      </c>
      <c r="B61" s="20"/>
      <c r="C61" s="22"/>
      <c r="D61" s="22"/>
      <c r="E61" s="22"/>
      <c r="F61" s="22"/>
      <c r="G61" s="22"/>
      <c r="H61" s="22"/>
      <c r="I61" s="22"/>
      <c r="J61" s="22"/>
      <c r="K61" s="23"/>
      <c r="L61" s="23"/>
      <c r="M61" s="23"/>
      <c r="N61" s="23"/>
      <c r="O61" s="22"/>
      <c r="P61" s="24"/>
      <c r="Q61" s="24" t="str">
        <f t="shared" si="1"/>
        <v>fine-grained, homogeneous, white marble</v>
      </c>
      <c r="R61" s="20" t="s">
        <v>180</v>
      </c>
      <c r="S61" s="20" t="s">
        <v>189</v>
      </c>
      <c r="T61" s="20" t="s">
        <v>194</v>
      </c>
      <c r="U61" s="20" t="s">
        <v>195</v>
      </c>
      <c r="V61" s="22"/>
      <c r="W61" s="20" t="s">
        <v>166</v>
      </c>
      <c r="X61" s="20">
        <v>1.9</v>
      </c>
      <c r="Y61" s="20" t="s">
        <v>191</v>
      </c>
      <c r="Z61" s="20" t="s">
        <v>245</v>
      </c>
      <c r="AA61" s="25"/>
      <c r="AB61" s="25"/>
      <c r="AC61" s="25"/>
      <c r="AD61" s="25"/>
      <c r="AE61" s="53"/>
      <c r="AF61" s="25"/>
      <c r="AG61" s="25"/>
      <c r="AH61" s="25"/>
      <c r="AI61" s="25"/>
      <c r="AJ61" s="25"/>
      <c r="AK61" s="25"/>
      <c r="AL61" s="25"/>
      <c r="AM61" s="22"/>
      <c r="AN61" s="22"/>
      <c r="AO61" s="43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46"/>
      <c r="CX61" s="91"/>
      <c r="CY61" s="91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</row>
    <row r="62" ht="15.75" customHeight="1">
      <c r="A62" s="20" t="s">
        <v>279</v>
      </c>
      <c r="B62" s="20"/>
      <c r="C62" s="22"/>
      <c r="D62" s="22"/>
      <c r="E62" s="22"/>
      <c r="F62" s="22"/>
      <c r="G62" s="22"/>
      <c r="H62" s="22"/>
      <c r="I62" s="22"/>
      <c r="J62" s="22"/>
      <c r="K62" s="23"/>
      <c r="L62" s="23"/>
      <c r="M62" s="23"/>
      <c r="N62" s="23"/>
      <c r="O62" s="22"/>
      <c r="P62" s="24"/>
      <c r="Q62" s="24" t="str">
        <f t="shared" si="1"/>
        <v>very fine-grained, veined, white marble</v>
      </c>
      <c r="R62" s="20" t="s">
        <v>188</v>
      </c>
      <c r="S62" s="20" t="s">
        <v>189</v>
      </c>
      <c r="T62" s="20" t="s">
        <v>206</v>
      </c>
      <c r="U62" s="20" t="s">
        <v>254</v>
      </c>
      <c r="V62" s="22"/>
      <c r="W62" s="20" t="s">
        <v>166</v>
      </c>
      <c r="X62" s="20">
        <v>0.5</v>
      </c>
      <c r="Y62" s="20" t="s">
        <v>196</v>
      </c>
      <c r="Z62" s="20" t="s">
        <v>184</v>
      </c>
      <c r="AA62" s="25"/>
      <c r="AB62" s="25"/>
      <c r="AC62" s="25"/>
      <c r="AD62" s="25"/>
      <c r="AE62" s="53"/>
      <c r="AF62" s="25"/>
      <c r="AG62" s="25"/>
      <c r="AH62" s="25"/>
      <c r="AI62" s="25"/>
      <c r="AJ62" s="25"/>
      <c r="AK62" s="25"/>
      <c r="AL62" s="25"/>
      <c r="AM62" s="22"/>
      <c r="AN62" s="22"/>
      <c r="AO62" s="43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46"/>
      <c r="CX62" s="91"/>
      <c r="CY62" s="91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33"/>
      <c r="ES62" s="33"/>
      <c r="ET62" s="33"/>
      <c r="EU62" s="33"/>
      <c r="EV62" s="33"/>
      <c r="EW62" s="33"/>
      <c r="EX62" s="33"/>
      <c r="EY62" s="33"/>
      <c r="EZ62" s="33"/>
      <c r="FA62" s="33"/>
      <c r="FB62" s="33"/>
      <c r="FC62" s="33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3"/>
      <c r="FP62" s="33"/>
      <c r="FQ62" s="33"/>
      <c r="FR62" s="33"/>
      <c r="FS62" s="33"/>
      <c r="FT62" s="33"/>
      <c r="FU62" s="33"/>
      <c r="FV62" s="33"/>
      <c r="FW62" s="33"/>
      <c r="FX62" s="33"/>
      <c r="FY62" s="33"/>
      <c r="FZ62" s="33"/>
      <c r="GA62" s="33"/>
    </row>
    <row r="63" ht="15.75" customHeight="1">
      <c r="A63" s="20" t="s">
        <v>280</v>
      </c>
      <c r="B63" s="20"/>
      <c r="C63" s="22"/>
      <c r="D63" s="22"/>
      <c r="E63" s="22"/>
      <c r="F63" s="22"/>
      <c r="G63" s="22"/>
      <c r="H63" s="22"/>
      <c r="I63" s="22"/>
      <c r="J63" s="22"/>
      <c r="K63" s="23"/>
      <c r="L63" s="23"/>
      <c r="M63" s="23"/>
      <c r="N63" s="23"/>
      <c r="O63" s="22"/>
      <c r="P63" s="24"/>
      <c r="Q63" s="24" t="str">
        <f t="shared" si="1"/>
        <v>fine-grained, homogeneous, white marble</v>
      </c>
      <c r="R63" s="20" t="s">
        <v>180</v>
      </c>
      <c r="S63" s="20" t="s">
        <v>189</v>
      </c>
      <c r="T63" s="20" t="s">
        <v>194</v>
      </c>
      <c r="U63" s="20" t="s">
        <v>281</v>
      </c>
      <c r="V63" s="22"/>
      <c r="W63" s="20" t="s">
        <v>166</v>
      </c>
      <c r="X63" s="20">
        <v>1.7</v>
      </c>
      <c r="Y63" s="20" t="s">
        <v>183</v>
      </c>
      <c r="Z63" s="20" t="s">
        <v>245</v>
      </c>
      <c r="AA63" s="25"/>
      <c r="AB63" s="25"/>
      <c r="AC63" s="25"/>
      <c r="AD63" s="25"/>
      <c r="AE63" s="53"/>
      <c r="AF63" s="25"/>
      <c r="AG63" s="25"/>
      <c r="AH63" s="25"/>
      <c r="AI63" s="25"/>
      <c r="AJ63" s="25"/>
      <c r="AK63" s="25"/>
      <c r="AL63" s="25"/>
      <c r="AM63" s="22"/>
      <c r="AN63" s="22"/>
      <c r="AO63" s="43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46"/>
      <c r="CX63" s="91"/>
      <c r="CY63" s="91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  <c r="ED63" s="33"/>
      <c r="EE63" s="33"/>
      <c r="EF63" s="33"/>
      <c r="EG63" s="33"/>
      <c r="EH63" s="33"/>
      <c r="EI63" s="33"/>
      <c r="EJ63" s="33"/>
      <c r="EK63" s="33"/>
      <c r="EL63" s="33"/>
      <c r="EM63" s="33"/>
      <c r="EN63" s="33"/>
      <c r="EO63" s="33"/>
      <c r="EP63" s="33"/>
      <c r="EQ63" s="33"/>
      <c r="ER63" s="33"/>
      <c r="ES63" s="33"/>
      <c r="ET63" s="33"/>
      <c r="EU63" s="33"/>
      <c r="EV63" s="33"/>
      <c r="EW63" s="33"/>
      <c r="EX63" s="33"/>
      <c r="EY63" s="33"/>
      <c r="EZ63" s="33"/>
      <c r="FA63" s="33"/>
      <c r="FB63" s="33"/>
      <c r="FC63" s="33"/>
      <c r="FD63" s="33"/>
      <c r="FE63" s="33"/>
      <c r="FF63" s="33"/>
      <c r="FG63" s="33"/>
      <c r="FH63" s="33"/>
      <c r="FI63" s="33"/>
      <c r="FJ63" s="33"/>
      <c r="FK63" s="33"/>
      <c r="FL63" s="33"/>
      <c r="FM63" s="33"/>
      <c r="FN63" s="33"/>
      <c r="FO63" s="33"/>
      <c r="FP63" s="33"/>
      <c r="FQ63" s="33"/>
      <c r="FR63" s="33"/>
      <c r="FS63" s="33"/>
      <c r="FT63" s="33"/>
      <c r="FU63" s="33"/>
      <c r="FV63" s="33"/>
      <c r="FW63" s="33"/>
      <c r="FX63" s="33"/>
      <c r="FY63" s="33"/>
      <c r="FZ63" s="33"/>
      <c r="GA63" s="33"/>
    </row>
    <row r="64" ht="15.75" customHeight="1">
      <c r="A64" s="20" t="s">
        <v>282</v>
      </c>
      <c r="B64" s="20"/>
      <c r="C64" s="22"/>
      <c r="D64" s="22"/>
      <c r="E64" s="22"/>
      <c r="F64" s="22"/>
      <c r="G64" s="22"/>
      <c r="H64" s="22"/>
      <c r="I64" s="22"/>
      <c r="J64" s="22"/>
      <c r="K64" s="23"/>
      <c r="L64" s="23"/>
      <c r="M64" s="62" t="s">
        <v>283</v>
      </c>
      <c r="N64" s="23"/>
      <c r="O64" s="22" t="s">
        <v>164</v>
      </c>
      <c r="P64" s="76" t="s">
        <v>284</v>
      </c>
      <c r="Q64" s="24" t="str">
        <f t="shared" si="1"/>
        <v>very fine-grained, homogeneous, white marble</v>
      </c>
      <c r="R64" s="20" t="s">
        <v>188</v>
      </c>
      <c r="S64" s="20" t="s">
        <v>189</v>
      </c>
      <c r="T64" s="20" t="s">
        <v>194</v>
      </c>
      <c r="U64" s="20" t="s">
        <v>195</v>
      </c>
      <c r="V64" s="20" t="s">
        <v>190</v>
      </c>
      <c r="W64" s="20" t="s">
        <v>166</v>
      </c>
      <c r="X64" s="20">
        <v>0.5</v>
      </c>
      <c r="Y64" s="20" t="s">
        <v>196</v>
      </c>
      <c r="Z64" s="20" t="s">
        <v>207</v>
      </c>
      <c r="AA64" s="25"/>
      <c r="AB64" s="49" t="s">
        <v>166</v>
      </c>
      <c r="AC64" s="49">
        <v>0.8</v>
      </c>
      <c r="AD64" s="49" t="s">
        <v>209</v>
      </c>
      <c r="AE64" s="26" t="s">
        <v>198</v>
      </c>
      <c r="AF64" s="49" t="s">
        <v>166</v>
      </c>
      <c r="AG64" s="49" t="s">
        <v>166</v>
      </c>
      <c r="AH64" s="25" t="s">
        <v>164</v>
      </c>
      <c r="AI64" s="25" t="s">
        <v>164</v>
      </c>
      <c r="AJ64" s="25" t="s">
        <v>164</v>
      </c>
      <c r="AK64" s="25" t="s">
        <v>164</v>
      </c>
      <c r="AL64" s="25" t="s">
        <v>164</v>
      </c>
      <c r="AM64" s="22"/>
      <c r="AN64" s="22"/>
      <c r="AO64" s="43">
        <f t="shared" ref="AO64:AO65" si="4">SUM(AP64,AQ64,AR64)</f>
        <v>0</v>
      </c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 t="s">
        <v>164</v>
      </c>
      <c r="BF64" s="22" t="s">
        <v>164</v>
      </c>
      <c r="BG64" s="22" t="s">
        <v>164</v>
      </c>
      <c r="BH64" s="22" t="s">
        <v>164</v>
      </c>
      <c r="BI64" s="22"/>
      <c r="BJ64" s="22" t="s">
        <v>164</v>
      </c>
      <c r="BK64" s="22"/>
      <c r="BL64" s="22" t="s">
        <v>164</v>
      </c>
      <c r="BM64" s="22"/>
      <c r="BN64" s="22" t="s">
        <v>164</v>
      </c>
      <c r="BO64" s="22"/>
      <c r="BP64" s="22"/>
      <c r="BQ64" s="22"/>
      <c r="BR64" s="22" t="s">
        <v>164</v>
      </c>
      <c r="BS64" s="22"/>
      <c r="BT64" s="22" t="s">
        <v>164</v>
      </c>
      <c r="BU64" s="22"/>
      <c r="BV64" s="22"/>
      <c r="BW64" s="22"/>
      <c r="BX64" s="22" t="s">
        <v>164</v>
      </c>
      <c r="BY64" s="22"/>
      <c r="BZ64" s="22" t="s">
        <v>164</v>
      </c>
      <c r="CA64" s="22"/>
      <c r="CB64" s="22" t="s">
        <v>164</v>
      </c>
      <c r="CC64" s="22"/>
      <c r="CD64" s="22" t="s">
        <v>164</v>
      </c>
      <c r="CE64" s="25" t="s">
        <v>164</v>
      </c>
      <c r="CF64" s="25" t="s">
        <v>164</v>
      </c>
      <c r="CG64" s="25" t="s">
        <v>164</v>
      </c>
      <c r="CH64" s="25" t="s">
        <v>164</v>
      </c>
      <c r="CI64" s="25" t="s">
        <v>164</v>
      </c>
      <c r="CJ64" s="25" t="s">
        <v>164</v>
      </c>
      <c r="CK64" s="25" t="s">
        <v>164</v>
      </c>
      <c r="CL64" s="25" t="s">
        <v>164</v>
      </c>
      <c r="CM64" s="25" t="s">
        <v>164</v>
      </c>
      <c r="CN64" s="25" t="s">
        <v>164</v>
      </c>
      <c r="CO64" s="25" t="s">
        <v>164</v>
      </c>
      <c r="CP64" s="25" t="s">
        <v>164</v>
      </c>
      <c r="CQ64" s="25" t="s">
        <v>164</v>
      </c>
      <c r="CR64" s="25" t="s">
        <v>164</v>
      </c>
      <c r="CS64" s="25" t="s">
        <v>164</v>
      </c>
      <c r="CT64" s="25" t="s">
        <v>164</v>
      </c>
      <c r="CU64" s="25" t="s">
        <v>164</v>
      </c>
      <c r="CV64" s="25" t="s">
        <v>164</v>
      </c>
      <c r="CW64" s="37" t="s">
        <v>166</v>
      </c>
      <c r="CX64" s="75">
        <v>1.77</v>
      </c>
      <c r="CY64" s="75">
        <v>1.86</v>
      </c>
      <c r="CZ64" s="50" t="s">
        <v>166</v>
      </c>
      <c r="DA64" s="33" t="s">
        <v>164</v>
      </c>
      <c r="DB64" s="33" t="s">
        <v>164</v>
      </c>
      <c r="DC64" s="33" t="s">
        <v>164</v>
      </c>
      <c r="DD64" s="33" t="s">
        <v>164</v>
      </c>
      <c r="DE64" s="33" t="s">
        <v>164</v>
      </c>
      <c r="DF64" s="33" t="s">
        <v>164</v>
      </c>
      <c r="DG64" s="33" t="s">
        <v>164</v>
      </c>
      <c r="DH64" s="33" t="s">
        <v>164</v>
      </c>
      <c r="DI64" s="33" t="s">
        <v>164</v>
      </c>
      <c r="DJ64" s="50"/>
      <c r="DK64" s="63">
        <v>0.32357</v>
      </c>
      <c r="DL64" s="63">
        <v>0.17073</v>
      </c>
      <c r="DM64" s="63">
        <v>26.68124</v>
      </c>
      <c r="DN64" s="63">
        <v>893.2629</v>
      </c>
      <c r="DO64" s="63">
        <v>0.41197</v>
      </c>
      <c r="DP64" s="63">
        <v>10.85104</v>
      </c>
      <c r="DQ64" s="63">
        <v>0.50833</v>
      </c>
      <c r="DR64" s="63">
        <v>0.26478</v>
      </c>
      <c r="DS64" s="63">
        <v>10.76787</v>
      </c>
      <c r="DT64" s="63">
        <v>63.42791</v>
      </c>
      <c r="DU64" s="63">
        <v>0.07667</v>
      </c>
      <c r="DV64" s="63">
        <v>0.06639</v>
      </c>
      <c r="DW64" s="63">
        <v>0.11214</v>
      </c>
      <c r="DX64" s="63">
        <v>3.69923</v>
      </c>
      <c r="DY64" s="63">
        <v>0.02859</v>
      </c>
      <c r="DZ64" s="63">
        <v>-0.00993</v>
      </c>
      <c r="EA64" s="63">
        <v>0.0699</v>
      </c>
      <c r="EB64" s="63">
        <v>59.50258</v>
      </c>
      <c r="EC64" s="63">
        <v>0.39623</v>
      </c>
      <c r="ED64" s="63">
        <v>0.10717</v>
      </c>
      <c r="EE64" s="63">
        <v>0.02532</v>
      </c>
      <c r="EF64" s="63">
        <v>0.02625</v>
      </c>
      <c r="EG64" s="63">
        <v>1.0671</v>
      </c>
      <c r="EH64" s="63">
        <v>0.02398</v>
      </c>
      <c r="EI64" s="63">
        <v>0.01498</v>
      </c>
      <c r="EJ64" s="63">
        <v>1.24673</v>
      </c>
      <c r="EK64" s="63">
        <v>0.14448</v>
      </c>
      <c r="EL64" s="63">
        <v>0.14285</v>
      </c>
      <c r="EM64" s="63">
        <v>0.09626</v>
      </c>
      <c r="EN64" s="63">
        <v>0.01587</v>
      </c>
      <c r="EO64" s="63">
        <v>0.01415</v>
      </c>
      <c r="EP64" s="63">
        <v>0.09028</v>
      </c>
      <c r="EQ64" s="63">
        <v>0.13229</v>
      </c>
      <c r="ER64" s="63">
        <v>0.04742</v>
      </c>
      <c r="ES64" s="63">
        <v>0.04584</v>
      </c>
      <c r="ET64" s="63">
        <v>0.05358</v>
      </c>
      <c r="EU64" s="63">
        <v>0.30453</v>
      </c>
      <c r="EV64" s="63">
        <v>0.07104</v>
      </c>
      <c r="EW64" s="63">
        <v>0.01352</v>
      </c>
      <c r="EX64" s="63">
        <v>0.02404</v>
      </c>
      <c r="EY64" s="63">
        <v>0.15891</v>
      </c>
      <c r="EZ64" s="40"/>
      <c r="FA64" s="33"/>
      <c r="FB64" s="33"/>
      <c r="FC64" s="33"/>
      <c r="FD64" s="33"/>
      <c r="FE64" s="33"/>
      <c r="FF64" s="33"/>
      <c r="FG64" s="33"/>
      <c r="FH64" s="33"/>
      <c r="FI64" s="33"/>
      <c r="FJ64" s="33"/>
      <c r="FK64" s="33"/>
      <c r="FL64" s="33"/>
      <c r="FM64" s="33"/>
      <c r="FN64" s="33"/>
      <c r="FO64" s="33"/>
      <c r="FP64" s="33"/>
      <c r="FQ64" s="33"/>
      <c r="FR64" s="33"/>
      <c r="FS64" s="33"/>
      <c r="FT64" s="33"/>
      <c r="FU64" s="33"/>
      <c r="FV64" s="33"/>
      <c r="FW64" s="33"/>
      <c r="FX64" s="33"/>
      <c r="FY64" s="33"/>
      <c r="FZ64" s="33"/>
      <c r="GA64" s="33"/>
    </row>
    <row r="65" ht="15.75" customHeight="1">
      <c r="A65" s="20" t="s">
        <v>285</v>
      </c>
      <c r="B65" s="20"/>
      <c r="C65" s="22"/>
      <c r="D65" s="22"/>
      <c r="E65" s="22"/>
      <c r="F65" s="22"/>
      <c r="G65" s="22"/>
      <c r="H65" s="22"/>
      <c r="I65" s="22"/>
      <c r="J65" s="22"/>
      <c r="K65" s="23"/>
      <c r="L65" s="23"/>
      <c r="M65" s="23"/>
      <c r="N65" s="23"/>
      <c r="O65" s="22" t="s">
        <v>164</v>
      </c>
      <c r="P65" s="24"/>
      <c r="Q65" s="24" t="str">
        <f t="shared" si="1"/>
        <v>very fine-grained, homogeneous, white marble</v>
      </c>
      <c r="R65" s="20" t="s">
        <v>188</v>
      </c>
      <c r="S65" s="20" t="s">
        <v>189</v>
      </c>
      <c r="T65" s="20" t="s">
        <v>194</v>
      </c>
      <c r="U65" s="20" t="s">
        <v>195</v>
      </c>
      <c r="V65" s="22" t="s">
        <v>164</v>
      </c>
      <c r="W65" s="20" t="s">
        <v>166</v>
      </c>
      <c r="X65" s="20">
        <v>0.4</v>
      </c>
      <c r="Y65" s="20" t="s">
        <v>196</v>
      </c>
      <c r="Z65" s="20" t="s">
        <v>184</v>
      </c>
      <c r="AA65" s="25"/>
      <c r="AB65" s="49" t="s">
        <v>166</v>
      </c>
      <c r="AC65" s="49">
        <v>0.5</v>
      </c>
      <c r="AD65" s="49" t="s">
        <v>209</v>
      </c>
      <c r="AE65" s="26" t="s">
        <v>245</v>
      </c>
      <c r="AF65" s="49" t="s">
        <v>166</v>
      </c>
      <c r="AG65" s="49" t="s">
        <v>166</v>
      </c>
      <c r="AH65" s="25" t="s">
        <v>164</v>
      </c>
      <c r="AI65" s="25" t="s">
        <v>164</v>
      </c>
      <c r="AJ65" s="25" t="s">
        <v>164</v>
      </c>
      <c r="AK65" s="25" t="s">
        <v>164</v>
      </c>
      <c r="AL65" s="25" t="s">
        <v>164</v>
      </c>
      <c r="AM65" s="22"/>
      <c r="AN65" s="22"/>
      <c r="AO65" s="43">
        <f t="shared" si="4"/>
        <v>0</v>
      </c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 t="s">
        <v>164</v>
      </c>
      <c r="BF65" s="22" t="s">
        <v>164</v>
      </c>
      <c r="BG65" s="22" t="s">
        <v>164</v>
      </c>
      <c r="BH65" s="22" t="s">
        <v>164</v>
      </c>
      <c r="BI65" s="22"/>
      <c r="BJ65" s="22" t="s">
        <v>164</v>
      </c>
      <c r="BK65" s="22"/>
      <c r="BL65" s="22" t="s">
        <v>164</v>
      </c>
      <c r="BM65" s="22"/>
      <c r="BN65" s="22" t="s">
        <v>164</v>
      </c>
      <c r="BO65" s="22"/>
      <c r="BP65" s="22"/>
      <c r="BQ65" s="22"/>
      <c r="BR65" s="22" t="s">
        <v>164</v>
      </c>
      <c r="BS65" s="22"/>
      <c r="BT65" s="22" t="s">
        <v>164</v>
      </c>
      <c r="BU65" s="22"/>
      <c r="BV65" s="22"/>
      <c r="BW65" s="22"/>
      <c r="BX65" s="22" t="s">
        <v>164</v>
      </c>
      <c r="BY65" s="22"/>
      <c r="BZ65" s="22" t="s">
        <v>164</v>
      </c>
      <c r="CA65" s="22"/>
      <c r="CB65" s="22" t="s">
        <v>164</v>
      </c>
      <c r="CC65" s="22"/>
      <c r="CD65" s="22" t="s">
        <v>164</v>
      </c>
      <c r="CE65" s="25" t="s">
        <v>164</v>
      </c>
      <c r="CF65" s="25" t="s">
        <v>164</v>
      </c>
      <c r="CG65" s="25" t="s">
        <v>164</v>
      </c>
      <c r="CH65" s="25" t="s">
        <v>164</v>
      </c>
      <c r="CI65" s="25" t="s">
        <v>164</v>
      </c>
      <c r="CJ65" s="25" t="s">
        <v>164</v>
      </c>
      <c r="CK65" s="25" t="s">
        <v>164</v>
      </c>
      <c r="CL65" s="25" t="s">
        <v>164</v>
      </c>
      <c r="CM65" s="25" t="s">
        <v>164</v>
      </c>
      <c r="CN65" s="25" t="s">
        <v>164</v>
      </c>
      <c r="CO65" s="25" t="s">
        <v>164</v>
      </c>
      <c r="CP65" s="25" t="s">
        <v>164</v>
      </c>
      <c r="CQ65" s="25" t="s">
        <v>164</v>
      </c>
      <c r="CR65" s="25" t="s">
        <v>164</v>
      </c>
      <c r="CS65" s="25" t="s">
        <v>164</v>
      </c>
      <c r="CT65" s="25" t="s">
        <v>164</v>
      </c>
      <c r="CU65" s="25" t="s">
        <v>164</v>
      </c>
      <c r="CV65" s="25" t="s">
        <v>164</v>
      </c>
      <c r="CW65" s="37" t="s">
        <v>166</v>
      </c>
      <c r="CX65" s="75">
        <v>1.94</v>
      </c>
      <c r="CY65" s="75">
        <v>-1.72</v>
      </c>
      <c r="CZ65" s="33"/>
      <c r="DA65" s="33" t="s">
        <v>164</v>
      </c>
      <c r="DB65" s="33" t="s">
        <v>164</v>
      </c>
      <c r="DC65" s="33" t="s">
        <v>164</v>
      </c>
      <c r="DD65" s="33" t="s">
        <v>164</v>
      </c>
      <c r="DE65" s="33" t="s">
        <v>164</v>
      </c>
      <c r="DF65" s="33" t="s">
        <v>164</v>
      </c>
      <c r="DG65" s="33" t="s">
        <v>164</v>
      </c>
      <c r="DH65" s="33" t="s">
        <v>164</v>
      </c>
      <c r="DI65" s="33" t="s">
        <v>164</v>
      </c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  <c r="FH65" s="33"/>
      <c r="FI65" s="33"/>
      <c r="FJ65" s="33"/>
      <c r="FK65" s="33"/>
      <c r="FL65" s="33"/>
      <c r="FM65" s="33"/>
      <c r="FN65" s="33"/>
      <c r="FO65" s="33"/>
      <c r="FP65" s="33"/>
      <c r="FQ65" s="33"/>
      <c r="FR65" s="33"/>
      <c r="FS65" s="33"/>
      <c r="FT65" s="33"/>
      <c r="FU65" s="33"/>
      <c r="FV65" s="33"/>
      <c r="FW65" s="33"/>
      <c r="FX65" s="33"/>
      <c r="FY65" s="33"/>
      <c r="FZ65" s="33"/>
      <c r="GA65" s="33"/>
    </row>
    <row r="66" ht="15.75" customHeight="1">
      <c r="A66" s="20" t="s">
        <v>286</v>
      </c>
      <c r="B66" s="20"/>
      <c r="C66" s="22"/>
      <c r="D66" s="22"/>
      <c r="E66" s="22"/>
      <c r="F66" s="22"/>
      <c r="G66" s="22"/>
      <c r="H66" s="22"/>
      <c r="I66" s="22"/>
      <c r="J66" s="22"/>
      <c r="K66" s="23"/>
      <c r="L66" s="23"/>
      <c r="M66" s="23"/>
      <c r="N66" s="23"/>
      <c r="O66" s="22"/>
      <c r="P66" s="24"/>
      <c r="Q66" s="24" t="str">
        <f t="shared" si="1"/>
        <v>very fine-grained, banded, white marble</v>
      </c>
      <c r="R66" s="20" t="s">
        <v>188</v>
      </c>
      <c r="S66" s="20" t="s">
        <v>189</v>
      </c>
      <c r="T66" s="20" t="s">
        <v>182</v>
      </c>
      <c r="U66" s="20" t="s">
        <v>181</v>
      </c>
      <c r="V66" s="22"/>
      <c r="W66" s="20" t="s">
        <v>166</v>
      </c>
      <c r="X66" s="20">
        <v>0.9</v>
      </c>
      <c r="Y66" s="20" t="s">
        <v>209</v>
      </c>
      <c r="Z66" s="20" t="s">
        <v>184</v>
      </c>
      <c r="AA66" s="25"/>
      <c r="AB66" s="25"/>
      <c r="AC66" s="25"/>
      <c r="AD66" s="25"/>
      <c r="AE66" s="53"/>
      <c r="AF66" s="25"/>
      <c r="AG66" s="25"/>
      <c r="AH66" s="25"/>
      <c r="AI66" s="25"/>
      <c r="AJ66" s="25"/>
      <c r="AK66" s="25"/>
      <c r="AL66" s="25"/>
      <c r="AM66" s="22"/>
      <c r="AN66" s="22"/>
      <c r="AO66" s="43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46"/>
      <c r="CX66" s="91"/>
      <c r="CY66" s="91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/>
      <c r="FG66" s="33"/>
      <c r="FH66" s="33"/>
      <c r="FI66" s="33"/>
      <c r="FJ66" s="33"/>
      <c r="FK66" s="33"/>
      <c r="FL66" s="33"/>
      <c r="FM66" s="33"/>
      <c r="FN66" s="33"/>
      <c r="FO66" s="33"/>
      <c r="FP66" s="33"/>
      <c r="FQ66" s="33"/>
      <c r="FR66" s="33"/>
      <c r="FS66" s="33"/>
      <c r="FT66" s="33"/>
      <c r="FU66" s="33"/>
      <c r="FV66" s="33"/>
      <c r="FW66" s="33"/>
      <c r="FX66" s="33"/>
      <c r="FY66" s="33"/>
      <c r="FZ66" s="33"/>
      <c r="GA66" s="33"/>
    </row>
    <row r="67" ht="15.75" customHeight="1">
      <c r="A67" s="20" t="s">
        <v>287</v>
      </c>
      <c r="B67" s="20"/>
      <c r="C67" s="44"/>
      <c r="D67" s="44"/>
      <c r="E67" s="44"/>
      <c r="F67" s="44"/>
      <c r="G67" s="44"/>
      <c r="H67" s="44"/>
      <c r="I67" s="44"/>
      <c r="J67" s="44"/>
      <c r="K67" s="23"/>
      <c r="L67" s="23"/>
      <c r="M67" s="23"/>
      <c r="N67" s="23"/>
      <c r="O67" s="44"/>
      <c r="P67" s="24"/>
      <c r="Q67" s="24" t="str">
        <f t="shared" si="1"/>
        <v>medium-grained, homogeneous, white marble</v>
      </c>
      <c r="R67" s="51" t="s">
        <v>205</v>
      </c>
      <c r="S67" s="51" t="s">
        <v>189</v>
      </c>
      <c r="T67" s="51" t="s">
        <v>194</v>
      </c>
      <c r="U67" s="51" t="s">
        <v>195</v>
      </c>
      <c r="V67" s="44"/>
      <c r="W67" s="51" t="s">
        <v>166</v>
      </c>
      <c r="X67" s="51">
        <v>2.2</v>
      </c>
      <c r="Y67" s="51" t="s">
        <v>183</v>
      </c>
      <c r="Z67" s="51" t="s">
        <v>219</v>
      </c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44"/>
      <c r="CS67" s="44"/>
      <c r="CT67" s="44"/>
      <c r="CU67" s="44"/>
      <c r="CV67" s="44"/>
      <c r="CW67" s="98"/>
      <c r="CX67" s="99"/>
      <c r="CY67" s="99"/>
      <c r="FA67" s="33"/>
      <c r="FB67" s="33"/>
      <c r="FC67" s="33"/>
      <c r="FD67" s="33"/>
      <c r="FE67" s="33"/>
      <c r="FF67" s="33"/>
      <c r="FG67" s="33"/>
      <c r="FH67" s="33"/>
      <c r="FI67" s="33"/>
      <c r="FJ67" s="33"/>
      <c r="FK67" s="33"/>
      <c r="FL67" s="33"/>
      <c r="FM67" s="33"/>
      <c r="FN67" s="33"/>
      <c r="FO67" s="33"/>
      <c r="FP67" s="33"/>
      <c r="FQ67" s="33"/>
      <c r="FR67" s="33"/>
      <c r="FS67" s="33"/>
      <c r="FT67" s="33"/>
      <c r="FU67" s="33"/>
      <c r="FV67" s="33"/>
      <c r="FW67" s="33"/>
      <c r="FX67" s="33"/>
      <c r="FY67" s="33"/>
      <c r="FZ67" s="33"/>
      <c r="GA67" s="33"/>
    </row>
    <row r="68" ht="15.75" customHeight="1">
      <c r="A68" s="20" t="s">
        <v>288</v>
      </c>
      <c r="B68" s="20"/>
      <c r="C68" s="22"/>
      <c r="D68" s="22"/>
      <c r="E68" s="22"/>
      <c r="F68" s="22"/>
      <c r="G68" s="22"/>
      <c r="H68" s="22"/>
      <c r="I68" s="22"/>
      <c r="J68" s="22"/>
      <c r="K68" s="23"/>
      <c r="L68" s="23"/>
      <c r="M68" s="23"/>
      <c r="N68" s="23"/>
      <c r="O68" s="22"/>
      <c r="P68" s="24"/>
      <c r="Q68" s="24" t="str">
        <f t="shared" si="1"/>
        <v>very fine-grained, homogeneous, white marble</v>
      </c>
      <c r="R68" s="20" t="s">
        <v>188</v>
      </c>
      <c r="S68" s="20" t="s">
        <v>189</v>
      </c>
      <c r="T68" s="20" t="s">
        <v>194</v>
      </c>
      <c r="U68" s="20" t="s">
        <v>195</v>
      </c>
      <c r="V68" s="22"/>
      <c r="W68" s="20" t="s">
        <v>166</v>
      </c>
      <c r="X68" s="20">
        <v>0.6</v>
      </c>
      <c r="Y68" s="20" t="s">
        <v>196</v>
      </c>
      <c r="Z68" s="20" t="s">
        <v>184</v>
      </c>
      <c r="AA68" s="25"/>
      <c r="AB68" s="25"/>
      <c r="AC68" s="25"/>
      <c r="AD68" s="25"/>
      <c r="AE68" s="53"/>
      <c r="AF68" s="25"/>
      <c r="AG68" s="25"/>
      <c r="AH68" s="25"/>
      <c r="AI68" s="25"/>
      <c r="AJ68" s="25"/>
      <c r="AK68" s="25"/>
      <c r="AL68" s="25"/>
      <c r="AM68" s="22"/>
      <c r="AN68" s="22"/>
      <c r="AO68" s="43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46"/>
      <c r="CX68" s="91"/>
      <c r="CY68" s="91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3"/>
      <c r="EH68" s="33"/>
      <c r="EI68" s="33"/>
      <c r="EJ68" s="33"/>
      <c r="EK68" s="33"/>
      <c r="EL68" s="33"/>
      <c r="EM68" s="33"/>
      <c r="EN68" s="33"/>
      <c r="EO68" s="33"/>
      <c r="EP68" s="33"/>
      <c r="EQ68" s="33"/>
      <c r="ER68" s="33"/>
      <c r="ES68" s="33"/>
      <c r="ET68" s="33"/>
      <c r="EU68" s="33"/>
      <c r="EV68" s="33"/>
      <c r="EW68" s="33"/>
      <c r="EX68" s="33"/>
      <c r="EY68" s="33"/>
      <c r="EZ68" s="33"/>
      <c r="FA68" s="33"/>
      <c r="FB68" s="33"/>
      <c r="FC68" s="33"/>
      <c r="FD68" s="33"/>
      <c r="FE68" s="33"/>
      <c r="FF68" s="33"/>
      <c r="FG68" s="33"/>
      <c r="FH68" s="33"/>
      <c r="FI68" s="33"/>
      <c r="FJ68" s="33"/>
      <c r="FK68" s="33"/>
      <c r="FL68" s="33"/>
      <c r="FM68" s="33"/>
      <c r="FN68" s="33"/>
      <c r="FO68" s="33"/>
      <c r="FP68" s="33"/>
      <c r="FQ68" s="33"/>
      <c r="FR68" s="33"/>
      <c r="FS68" s="33"/>
      <c r="FT68" s="33"/>
      <c r="FU68" s="33"/>
      <c r="FV68" s="33"/>
      <c r="FW68" s="33"/>
      <c r="FX68" s="33"/>
      <c r="FY68" s="33"/>
      <c r="FZ68" s="33"/>
      <c r="GA68" s="33"/>
    </row>
    <row r="69" ht="15.75" customHeight="1">
      <c r="A69" s="20" t="s">
        <v>289</v>
      </c>
      <c r="B69" s="20"/>
      <c r="C69" s="22"/>
      <c r="D69" s="22"/>
      <c r="E69" s="22"/>
      <c r="F69" s="22"/>
      <c r="G69" s="22"/>
      <c r="H69" s="22"/>
      <c r="I69" s="22"/>
      <c r="J69" s="22"/>
      <c r="K69" s="23"/>
      <c r="L69" s="23"/>
      <c r="M69" s="23"/>
      <c r="N69" s="23"/>
      <c r="O69" s="22"/>
      <c r="P69" s="24"/>
      <c r="Q69" s="24" t="str">
        <f t="shared" si="1"/>
        <v>very fine-grained, homogeneous, white marble</v>
      </c>
      <c r="R69" s="20" t="s">
        <v>188</v>
      </c>
      <c r="S69" s="20" t="s">
        <v>189</v>
      </c>
      <c r="T69" s="20" t="s">
        <v>194</v>
      </c>
      <c r="U69" s="20" t="s">
        <v>195</v>
      </c>
      <c r="V69" s="22"/>
      <c r="W69" s="20" t="s">
        <v>166</v>
      </c>
      <c r="X69" s="20">
        <v>0.3</v>
      </c>
      <c r="Y69" s="20" t="s">
        <v>196</v>
      </c>
      <c r="Z69" s="20" t="s">
        <v>184</v>
      </c>
      <c r="AA69" s="25"/>
      <c r="AB69" s="25"/>
      <c r="AC69" s="25"/>
      <c r="AD69" s="25"/>
      <c r="AE69" s="53"/>
      <c r="AF69" s="25"/>
      <c r="AG69" s="25"/>
      <c r="AH69" s="25"/>
      <c r="AI69" s="25"/>
      <c r="AJ69" s="25"/>
      <c r="AK69" s="25"/>
      <c r="AL69" s="25"/>
      <c r="AM69" s="22"/>
      <c r="AN69" s="22"/>
      <c r="AO69" s="43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46"/>
      <c r="CX69" s="91"/>
      <c r="CY69" s="91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25"/>
      <c r="DK69" s="33"/>
      <c r="DL69" s="33"/>
      <c r="DM69" s="33"/>
      <c r="DN69" s="33"/>
      <c r="DO69" s="33"/>
      <c r="DP69" s="33"/>
      <c r="DQ69" s="33"/>
      <c r="DR69" s="33"/>
      <c r="DS69" s="33"/>
      <c r="DT69" s="33"/>
      <c r="DU69" s="33"/>
      <c r="DV69" s="33"/>
      <c r="DW69" s="33"/>
      <c r="DX69" s="33"/>
      <c r="DY69" s="33"/>
      <c r="DZ69" s="33"/>
      <c r="EA69" s="33"/>
      <c r="EB69" s="33"/>
      <c r="EC69" s="33"/>
      <c r="ED69" s="33"/>
      <c r="EE69" s="33"/>
      <c r="EF69" s="33"/>
      <c r="EG69" s="33"/>
      <c r="EH69" s="33"/>
      <c r="EI69" s="33"/>
      <c r="EJ69" s="33"/>
      <c r="EK69" s="33"/>
      <c r="EL69" s="33"/>
      <c r="EM69" s="33"/>
      <c r="EN69" s="33"/>
      <c r="EO69" s="33"/>
      <c r="EP69" s="33"/>
      <c r="EQ69" s="33"/>
      <c r="ER69" s="33"/>
      <c r="ES69" s="33"/>
      <c r="ET69" s="33"/>
      <c r="EU69" s="33"/>
      <c r="EV69" s="33"/>
      <c r="EW69" s="33"/>
      <c r="EX69" s="33"/>
      <c r="EY69" s="33"/>
      <c r="EZ69" s="33"/>
      <c r="FA69" s="33"/>
      <c r="FB69" s="33"/>
      <c r="FC69" s="33"/>
      <c r="FD69" s="33"/>
      <c r="FE69" s="33"/>
      <c r="FF69" s="33"/>
      <c r="FG69" s="33"/>
      <c r="FH69" s="33"/>
      <c r="FI69" s="33"/>
      <c r="FJ69" s="33"/>
      <c r="FK69" s="33"/>
      <c r="FL69" s="33"/>
      <c r="FM69" s="33"/>
      <c r="FN69" s="33"/>
      <c r="FO69" s="33"/>
      <c r="FP69" s="33"/>
      <c r="FQ69" s="33"/>
      <c r="FR69" s="33"/>
      <c r="FS69" s="33"/>
      <c r="FT69" s="33"/>
      <c r="FU69" s="33"/>
      <c r="FV69" s="33"/>
      <c r="FW69" s="33"/>
      <c r="FX69" s="33"/>
      <c r="FY69" s="33"/>
      <c r="FZ69" s="33"/>
      <c r="GA69" s="33"/>
    </row>
    <row r="70" ht="15.75" customHeight="1">
      <c r="A70" s="20" t="s">
        <v>290</v>
      </c>
      <c r="B70" s="20"/>
      <c r="C70" s="44"/>
      <c r="D70" s="44"/>
      <c r="E70" s="44"/>
      <c r="F70" s="44"/>
      <c r="G70" s="44"/>
      <c r="H70" s="44"/>
      <c r="I70" s="44"/>
      <c r="J70" s="44"/>
      <c r="K70" s="100"/>
      <c r="L70" s="48" t="s">
        <v>291</v>
      </c>
      <c r="M70" s="100"/>
      <c r="N70" s="100"/>
      <c r="O70" s="44"/>
      <c r="P70" s="76" t="s">
        <v>292</v>
      </c>
      <c r="Q70" s="24" t="str">
        <f t="shared" si="1"/>
        <v>very fine-grained, homogeneous, white marble</v>
      </c>
      <c r="R70" s="51" t="s">
        <v>188</v>
      </c>
      <c r="S70" s="51" t="s">
        <v>189</v>
      </c>
      <c r="T70" s="51" t="s">
        <v>194</v>
      </c>
      <c r="U70" s="51" t="s">
        <v>195</v>
      </c>
      <c r="V70" s="51" t="s">
        <v>190</v>
      </c>
      <c r="W70" s="51" t="s">
        <v>166</v>
      </c>
      <c r="X70" s="51">
        <v>0.4</v>
      </c>
      <c r="Y70" s="51" t="s">
        <v>196</v>
      </c>
      <c r="Z70" s="51" t="s">
        <v>219</v>
      </c>
      <c r="AA70" s="44"/>
      <c r="AB70" s="49" t="s">
        <v>166</v>
      </c>
      <c r="AC70" s="51">
        <v>0.6</v>
      </c>
      <c r="AD70" s="51" t="s">
        <v>196</v>
      </c>
      <c r="AE70" s="101" t="s">
        <v>198</v>
      </c>
      <c r="AF70" s="51" t="s">
        <v>166</v>
      </c>
      <c r="AG70" s="51" t="s">
        <v>166</v>
      </c>
      <c r="AH70" s="44"/>
      <c r="AI70" s="44"/>
      <c r="AJ70" s="44"/>
      <c r="AK70" s="51" t="s">
        <v>166</v>
      </c>
      <c r="AL70" s="44"/>
      <c r="AM70" s="44"/>
      <c r="AN70" s="44"/>
      <c r="AO70" s="43">
        <f t="shared" ref="AO70:AO73" si="5">SUM(AP70,AQ70,AR70)</f>
        <v>0</v>
      </c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  <c r="CI70" s="44"/>
      <c r="CJ70" s="44"/>
      <c r="CK70" s="44"/>
      <c r="CL70" s="44"/>
      <c r="CM70" s="44"/>
      <c r="CN70" s="44"/>
      <c r="CO70" s="44"/>
      <c r="CP70" s="44"/>
      <c r="CQ70" s="44"/>
      <c r="CR70" s="44"/>
      <c r="CS70" s="44"/>
      <c r="CT70" s="44"/>
      <c r="CU70" s="44"/>
      <c r="CV70" s="44"/>
      <c r="CW70" s="37" t="s">
        <v>166</v>
      </c>
      <c r="CX70" s="102">
        <v>2.58</v>
      </c>
      <c r="CY70" s="102">
        <v>-6.59</v>
      </c>
      <c r="CZ70" s="50" t="s">
        <v>166</v>
      </c>
      <c r="DJ70" s="50" t="s">
        <v>166</v>
      </c>
      <c r="DK70" s="52">
        <v>0.43</v>
      </c>
      <c r="DL70" s="52">
        <v>12.68</v>
      </c>
      <c r="DM70" s="52">
        <v>77.48</v>
      </c>
      <c r="DN70" s="52">
        <v>3875.58</v>
      </c>
      <c r="DO70" s="52">
        <v>0.159876987</v>
      </c>
      <c r="DP70" s="52">
        <v>35.41</v>
      </c>
      <c r="DQ70" s="52">
        <v>0.28</v>
      </c>
      <c r="DR70" s="52">
        <v>3.37</v>
      </c>
      <c r="DS70" s="52">
        <v>1.09</v>
      </c>
      <c r="DT70" s="52">
        <v>62.11</v>
      </c>
      <c r="DU70" s="52">
        <v>371.2</v>
      </c>
      <c r="DV70" s="52">
        <v>0.14</v>
      </c>
      <c r="DW70" s="52">
        <v>3.84</v>
      </c>
      <c r="DX70" s="52">
        <v>1.27</v>
      </c>
      <c r="DY70" s="52">
        <v>25.84</v>
      </c>
      <c r="DZ70" s="52">
        <v>0.06</v>
      </c>
      <c r="EA70" s="52">
        <v>0.37</v>
      </c>
      <c r="EB70" s="52">
        <v>-0.18</v>
      </c>
      <c r="EC70" s="52">
        <v>174.46</v>
      </c>
      <c r="ED70" s="52">
        <v>3.23</v>
      </c>
      <c r="EE70" s="52">
        <v>2.73</v>
      </c>
      <c r="EF70" s="52">
        <v>0.22</v>
      </c>
      <c r="EG70" s="52">
        <v>0.02</v>
      </c>
      <c r="EH70" s="52">
        <v>0.41</v>
      </c>
      <c r="EI70" s="52">
        <v>0.06</v>
      </c>
      <c r="EJ70" s="52">
        <v>0.02</v>
      </c>
      <c r="EK70" s="52">
        <v>1.11</v>
      </c>
      <c r="EL70" s="52">
        <v>1.15</v>
      </c>
      <c r="EM70" s="52">
        <v>0.54</v>
      </c>
      <c r="EN70" s="52">
        <v>0.84</v>
      </c>
      <c r="EO70" s="52">
        <v>0.16</v>
      </c>
      <c r="EP70" s="52">
        <v>0.04</v>
      </c>
      <c r="EQ70" s="52">
        <v>0.18</v>
      </c>
      <c r="ER70" s="52">
        <v>0.31</v>
      </c>
      <c r="ES70" s="52">
        <v>0.23</v>
      </c>
      <c r="ET70" s="52">
        <v>0.095916976</v>
      </c>
      <c r="EU70" s="52">
        <v>0.08</v>
      </c>
      <c r="EV70" s="52">
        <v>4.06</v>
      </c>
      <c r="EW70" s="52">
        <v>3.16</v>
      </c>
      <c r="EX70" s="52">
        <v>2054.1</v>
      </c>
      <c r="EY70" s="52">
        <v>1.0</v>
      </c>
      <c r="EZ70" s="55"/>
      <c r="FA70" s="33"/>
      <c r="FB70" s="33"/>
      <c r="FC70" s="33"/>
      <c r="FD70" s="33"/>
      <c r="FE70" s="33"/>
      <c r="FF70" s="33"/>
      <c r="FG70" s="33"/>
      <c r="FH70" s="33"/>
      <c r="FI70" s="33"/>
      <c r="FJ70" s="33"/>
      <c r="FK70" s="33"/>
      <c r="FL70" s="33"/>
      <c r="FM70" s="33"/>
      <c r="FN70" s="33"/>
      <c r="FO70" s="33"/>
      <c r="FP70" s="33"/>
      <c r="FQ70" s="33"/>
      <c r="FR70" s="33"/>
      <c r="FS70" s="33"/>
      <c r="FT70" s="33"/>
      <c r="FU70" s="33"/>
      <c r="FV70" s="33"/>
      <c r="FW70" s="33"/>
      <c r="FX70" s="33"/>
      <c r="FY70" s="33"/>
      <c r="FZ70" s="33"/>
      <c r="GA70" s="33"/>
    </row>
    <row r="71" ht="15.75" customHeight="1">
      <c r="A71" s="20" t="s">
        <v>293</v>
      </c>
      <c r="B71" s="20"/>
      <c r="C71" s="44"/>
      <c r="D71" s="44"/>
      <c r="E71" s="44"/>
      <c r="F71" s="44"/>
      <c r="G71" s="44"/>
      <c r="H71" s="44"/>
      <c r="I71" s="44"/>
      <c r="J71" s="44"/>
      <c r="K71" s="100"/>
      <c r="L71" s="100"/>
      <c r="M71" s="100"/>
      <c r="N71" s="100"/>
      <c r="O71" s="44"/>
      <c r="P71" s="24"/>
      <c r="Q71" s="24" t="str">
        <f t="shared" si="1"/>
        <v>very fine-grained, homogeneous, white marble</v>
      </c>
      <c r="R71" s="51" t="s">
        <v>188</v>
      </c>
      <c r="S71" s="51" t="s">
        <v>189</v>
      </c>
      <c r="T71" s="51" t="s">
        <v>194</v>
      </c>
      <c r="U71" s="51" t="s">
        <v>195</v>
      </c>
      <c r="V71" s="44"/>
      <c r="W71" s="51" t="s">
        <v>166</v>
      </c>
      <c r="X71" s="51">
        <v>0.4</v>
      </c>
      <c r="Y71" s="51" t="s">
        <v>196</v>
      </c>
      <c r="Z71" s="51" t="s">
        <v>219</v>
      </c>
      <c r="AA71" s="44"/>
      <c r="AB71" s="44"/>
      <c r="AC71" s="44"/>
      <c r="AD71" s="44"/>
      <c r="AE71" s="45"/>
      <c r="AF71" s="44"/>
      <c r="AG71" s="44"/>
      <c r="AH71" s="44"/>
      <c r="AI71" s="44"/>
      <c r="AJ71" s="44"/>
      <c r="AK71" s="44"/>
      <c r="AL71" s="44"/>
      <c r="AM71" s="44"/>
      <c r="AN71" s="44"/>
      <c r="AO71" s="43">
        <f t="shared" si="5"/>
        <v>0</v>
      </c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4"/>
      <c r="CT71" s="44"/>
      <c r="CU71" s="44"/>
      <c r="CV71" s="44"/>
      <c r="CW71" s="103"/>
      <c r="CX71" s="104"/>
      <c r="CY71" s="104"/>
    </row>
    <row r="72">
      <c r="A72" s="20" t="s">
        <v>294</v>
      </c>
      <c r="B72" s="20"/>
      <c r="K72" s="48" t="s">
        <v>201</v>
      </c>
      <c r="L72" s="105"/>
      <c r="M72" s="105"/>
      <c r="N72" s="100"/>
      <c r="P72" s="35"/>
      <c r="Q72" s="24" t="str">
        <f t="shared" si="1"/>
        <v>very fine-grained, homogeneous, white marble</v>
      </c>
      <c r="R72" s="106" t="s">
        <v>188</v>
      </c>
      <c r="S72" s="106" t="s">
        <v>189</v>
      </c>
      <c r="T72" s="106" t="s">
        <v>194</v>
      </c>
      <c r="U72" s="106" t="s">
        <v>195</v>
      </c>
      <c r="V72" s="106" t="s">
        <v>190</v>
      </c>
      <c r="W72" s="106" t="s">
        <v>166</v>
      </c>
      <c r="X72" s="106">
        <v>0.7</v>
      </c>
      <c r="Y72" s="106" t="s">
        <v>209</v>
      </c>
      <c r="Z72" s="106" t="s">
        <v>198</v>
      </c>
      <c r="AB72" s="50" t="s">
        <v>166</v>
      </c>
      <c r="AC72" s="106">
        <v>0.8</v>
      </c>
      <c r="AD72" s="106" t="s">
        <v>191</v>
      </c>
      <c r="AE72" s="107" t="s">
        <v>198</v>
      </c>
      <c r="AF72" s="106" t="s">
        <v>166</v>
      </c>
      <c r="AG72" s="106" t="s">
        <v>166</v>
      </c>
      <c r="AO72" s="89">
        <f t="shared" si="5"/>
        <v>0</v>
      </c>
      <c r="CW72" s="108" t="s">
        <v>166</v>
      </c>
      <c r="CX72" s="109">
        <v>2.1</v>
      </c>
      <c r="CY72" s="109">
        <v>-1.54</v>
      </c>
      <c r="CZ72" s="50" t="s">
        <v>166</v>
      </c>
      <c r="DJ72" s="50" t="s">
        <v>166</v>
      </c>
      <c r="DK72" s="52">
        <v>6.95</v>
      </c>
      <c r="DL72" s="52">
        <v>76.3</v>
      </c>
      <c r="DM72" s="52">
        <v>845.71</v>
      </c>
      <c r="DN72" s="52">
        <v>9126.07</v>
      </c>
      <c r="DO72" s="52">
        <v>2.10463626</v>
      </c>
      <c r="DP72" s="52">
        <v>972.85</v>
      </c>
      <c r="DQ72" s="52">
        <v>37.74</v>
      </c>
      <c r="DR72" s="52">
        <v>26.54</v>
      </c>
      <c r="DS72" s="52">
        <v>648.88</v>
      </c>
      <c r="DT72" s="52">
        <v>3798.44</v>
      </c>
      <c r="DU72" s="52">
        <v>3.4</v>
      </c>
      <c r="DV72" s="52">
        <v>24.97</v>
      </c>
      <c r="DW72" s="52">
        <v>15.69</v>
      </c>
      <c r="DX72" s="52">
        <v>353.3</v>
      </c>
      <c r="DY72" s="52">
        <v>0.81</v>
      </c>
      <c r="DZ72" s="52">
        <v>2.28</v>
      </c>
      <c r="EA72" s="52">
        <v>9.56</v>
      </c>
      <c r="EB72" s="52">
        <v>1147.5</v>
      </c>
      <c r="EC72" s="52">
        <v>32.81</v>
      </c>
      <c r="ED72" s="52">
        <v>1.88</v>
      </c>
      <c r="EE72" s="52">
        <v>0.93</v>
      </c>
      <c r="EF72" s="52">
        <v>0.17</v>
      </c>
      <c r="EG72" s="52">
        <v>1.6</v>
      </c>
      <c r="EH72" s="52">
        <v>1.12</v>
      </c>
      <c r="EI72" s="52">
        <v>0.63</v>
      </c>
      <c r="EJ72" s="52">
        <v>14.5</v>
      </c>
      <c r="EK72" s="52">
        <v>11.49</v>
      </c>
      <c r="EL72" s="52">
        <v>6.1</v>
      </c>
      <c r="EM72" s="52">
        <v>10.73</v>
      </c>
      <c r="EN72" s="52">
        <v>1.93</v>
      </c>
      <c r="EO72" s="52">
        <v>0.57</v>
      </c>
      <c r="EP72" s="52">
        <v>4.0</v>
      </c>
      <c r="EQ72" s="52">
        <v>3.63</v>
      </c>
      <c r="ER72" s="52">
        <v>2.66</v>
      </c>
      <c r="ES72" s="52">
        <v>2.57</v>
      </c>
      <c r="ET72" s="52">
        <v>0.024589196</v>
      </c>
      <c r="EU72" s="52">
        <v>129.27</v>
      </c>
      <c r="EV72" s="52">
        <v>4056.78</v>
      </c>
      <c r="EW72" s="52">
        <v>2738.78</v>
      </c>
      <c r="EX72" s="52">
        <v>0.49</v>
      </c>
      <c r="EY72" s="52">
        <v>2.57</v>
      </c>
      <c r="EZ72" s="55"/>
      <c r="FA72" s="33"/>
      <c r="FB72" s="33"/>
      <c r="FC72" s="33"/>
      <c r="FD72" s="33"/>
      <c r="FE72" s="33"/>
      <c r="FF72" s="33"/>
      <c r="FG72" s="33"/>
      <c r="FH72" s="33"/>
      <c r="FI72" s="33"/>
      <c r="FJ72" s="33"/>
      <c r="FK72" s="33"/>
      <c r="FL72" s="33"/>
      <c r="FM72" s="33"/>
      <c r="FN72" s="33"/>
      <c r="FO72" s="33"/>
      <c r="FP72" s="33"/>
      <c r="FQ72" s="33"/>
      <c r="FR72" s="33"/>
      <c r="FS72" s="33"/>
      <c r="FT72" s="33"/>
      <c r="FU72" s="33"/>
      <c r="FV72" s="33"/>
      <c r="FW72" s="33"/>
      <c r="FX72" s="33"/>
      <c r="FY72" s="33"/>
      <c r="FZ72" s="33"/>
      <c r="GA72" s="33"/>
    </row>
    <row r="73" ht="15.75" customHeight="1">
      <c r="A73" s="20" t="s">
        <v>295</v>
      </c>
      <c r="B73" s="20"/>
      <c r="C73" s="44"/>
      <c r="D73" s="44"/>
      <c r="E73" s="44"/>
      <c r="F73" s="44"/>
      <c r="G73" s="44"/>
      <c r="H73" s="44"/>
      <c r="I73" s="44"/>
      <c r="J73" s="44"/>
      <c r="K73" s="100"/>
      <c r="L73" s="100"/>
      <c r="M73" s="100"/>
      <c r="N73" s="100"/>
      <c r="O73" s="44"/>
      <c r="P73" s="24"/>
      <c r="Q73" s="24" t="str">
        <f t="shared" si="1"/>
        <v>very fine-grained, homogeneous, white marble</v>
      </c>
      <c r="R73" s="51" t="s">
        <v>188</v>
      </c>
      <c r="S73" s="51" t="s">
        <v>189</v>
      </c>
      <c r="T73" s="51" t="s">
        <v>194</v>
      </c>
      <c r="U73" s="51" t="s">
        <v>195</v>
      </c>
      <c r="V73" s="44"/>
      <c r="W73" s="51" t="s">
        <v>166</v>
      </c>
      <c r="X73" s="51">
        <v>0.5</v>
      </c>
      <c r="Y73" s="51" t="s">
        <v>209</v>
      </c>
      <c r="Z73" s="51" t="s">
        <v>198</v>
      </c>
      <c r="AE73" s="110"/>
      <c r="AM73" s="44"/>
      <c r="AN73" s="44"/>
      <c r="AO73" s="43">
        <f t="shared" si="5"/>
        <v>0</v>
      </c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V73" s="44"/>
      <c r="CW73" s="103"/>
      <c r="CX73" s="47"/>
      <c r="CY73" s="47"/>
      <c r="FA73" s="33"/>
      <c r="FB73" s="33"/>
      <c r="FC73" s="33"/>
      <c r="FD73" s="33"/>
      <c r="FE73" s="33"/>
      <c r="FF73" s="33"/>
      <c r="FG73" s="33"/>
      <c r="FH73" s="33"/>
      <c r="FI73" s="33"/>
      <c r="FJ73" s="33"/>
      <c r="FK73" s="33"/>
      <c r="FL73" s="33"/>
      <c r="FM73" s="33"/>
      <c r="FN73" s="33"/>
      <c r="FO73" s="33"/>
      <c r="FP73" s="33"/>
      <c r="FQ73" s="33"/>
      <c r="FR73" s="33"/>
      <c r="FS73" s="33"/>
      <c r="FT73" s="33"/>
      <c r="FU73" s="33"/>
      <c r="FV73" s="33"/>
      <c r="FW73" s="33"/>
      <c r="FX73" s="33"/>
      <c r="FY73" s="33"/>
      <c r="FZ73" s="33"/>
      <c r="GA73" s="33"/>
    </row>
    <row r="74" ht="15.75" customHeight="1">
      <c r="A74" s="20" t="s">
        <v>296</v>
      </c>
      <c r="B74" s="20"/>
      <c r="C74" s="44"/>
      <c r="D74" s="44"/>
      <c r="E74" s="44"/>
      <c r="F74" s="44"/>
      <c r="G74" s="44"/>
      <c r="H74" s="44"/>
      <c r="I74" s="44"/>
      <c r="J74" s="44"/>
      <c r="K74" s="105"/>
      <c r="L74" s="48" t="s">
        <v>297</v>
      </c>
      <c r="M74" s="100"/>
      <c r="N74" s="100"/>
      <c r="O74" s="44"/>
      <c r="P74" s="24"/>
      <c r="Q74" s="24" t="str">
        <f t="shared" si="1"/>
        <v>very fine-grained, banded, white marble</v>
      </c>
      <c r="R74" s="51" t="s">
        <v>188</v>
      </c>
      <c r="S74" s="51" t="s">
        <v>189</v>
      </c>
      <c r="T74" s="51" t="s">
        <v>182</v>
      </c>
      <c r="U74" s="51" t="s">
        <v>181</v>
      </c>
      <c r="V74" s="44"/>
      <c r="W74" s="51" t="s">
        <v>166</v>
      </c>
      <c r="X74" s="51">
        <v>0.5</v>
      </c>
      <c r="Y74" s="51" t="s">
        <v>191</v>
      </c>
      <c r="Z74" s="51" t="s">
        <v>198</v>
      </c>
      <c r="AB74" s="111" t="s">
        <v>166</v>
      </c>
      <c r="AC74" s="112">
        <v>2.1</v>
      </c>
      <c r="AD74" s="111" t="s">
        <v>183</v>
      </c>
      <c r="AE74" s="113" t="s">
        <v>213</v>
      </c>
      <c r="AF74" s="33"/>
      <c r="AG74" s="50" t="s">
        <v>166</v>
      </c>
      <c r="AH74" s="50"/>
      <c r="AI74" s="33"/>
      <c r="AJ74" s="33"/>
      <c r="AK74" s="33"/>
      <c r="AL74" s="50" t="s">
        <v>166</v>
      </c>
      <c r="AM74" s="22"/>
      <c r="AN74" s="22"/>
      <c r="AO74" s="64">
        <v>0.0</v>
      </c>
      <c r="AP74" s="22"/>
      <c r="AQ74" s="22"/>
      <c r="AR74" s="22"/>
      <c r="AS74" s="22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44"/>
      <c r="BR74" s="44"/>
      <c r="BS74" s="44"/>
      <c r="BT74" s="44"/>
      <c r="BU74" s="44"/>
      <c r="BV74" s="44"/>
      <c r="BW74" s="44"/>
      <c r="BX74" s="44"/>
      <c r="BY74" s="44"/>
      <c r="BZ74" s="44"/>
      <c r="CA74" s="44"/>
      <c r="CB74" s="44"/>
      <c r="CC74" s="44"/>
      <c r="CD74" s="44"/>
      <c r="CV74" s="44"/>
      <c r="CW74" s="114" t="s">
        <v>166</v>
      </c>
      <c r="CX74" s="115">
        <v>2.41</v>
      </c>
      <c r="CY74" s="115">
        <v>-6.96</v>
      </c>
      <c r="CZ74" s="106" t="s">
        <v>166</v>
      </c>
      <c r="DJ74" s="106" t="s">
        <v>166</v>
      </c>
      <c r="DK74" s="52">
        <v>0.34</v>
      </c>
      <c r="DL74" s="52">
        <v>4.68</v>
      </c>
      <c r="DM74" s="52">
        <v>66.7</v>
      </c>
      <c r="DN74" s="52">
        <v>3039.39</v>
      </c>
      <c r="DO74" s="52">
        <v>0.089831261</v>
      </c>
      <c r="DP74" s="52">
        <v>5.26</v>
      </c>
      <c r="DQ74" s="52">
        <v>0.59</v>
      </c>
      <c r="DR74" s="52">
        <v>3.88</v>
      </c>
      <c r="DS74" s="52">
        <v>5.38</v>
      </c>
      <c r="DT74" s="52">
        <v>200.73</v>
      </c>
      <c r="DU74" s="52">
        <v>0.14</v>
      </c>
      <c r="DV74" s="52">
        <v>1.95</v>
      </c>
      <c r="DW74" s="52">
        <v>2.54</v>
      </c>
      <c r="DX74" s="52">
        <v>9.01</v>
      </c>
      <c r="DY74" s="52">
        <v>0.06</v>
      </c>
      <c r="DZ74" s="52">
        <v>0.28</v>
      </c>
      <c r="EA74" s="52">
        <v>0.32</v>
      </c>
      <c r="EB74" s="52">
        <v>243.05</v>
      </c>
      <c r="EC74" s="52">
        <v>0.36</v>
      </c>
      <c r="ED74" s="52">
        <v>0.06</v>
      </c>
      <c r="EE74" s="52">
        <v>0.02</v>
      </c>
      <c r="EF74" s="52">
        <v>0.01</v>
      </c>
      <c r="EG74" s="52">
        <v>0.2</v>
      </c>
      <c r="EH74" s="52">
        <v>0.09</v>
      </c>
      <c r="EI74" s="52">
        <v>0.03</v>
      </c>
      <c r="EJ74" s="52">
        <v>1.68</v>
      </c>
      <c r="EK74" s="52">
        <v>0.47</v>
      </c>
      <c r="EL74" s="52">
        <v>0.52</v>
      </c>
      <c r="EM74" s="52">
        <v>0.31</v>
      </c>
      <c r="EN74" s="52">
        <v>0.05</v>
      </c>
      <c r="EO74" s="52">
        <v>0.01</v>
      </c>
      <c r="EP74" s="52">
        <v>0.05</v>
      </c>
      <c r="EQ74" s="52">
        <v>0.05</v>
      </c>
      <c r="ER74" s="52">
        <v>0.04</v>
      </c>
      <c r="ES74" s="52">
        <v>0.03</v>
      </c>
      <c r="ET74" s="52">
        <v>0.001934166</v>
      </c>
      <c r="EU74" s="52">
        <v>11.85</v>
      </c>
      <c r="EV74" s="52">
        <v>54.99</v>
      </c>
      <c r="EW74" s="52">
        <v>11.86</v>
      </c>
      <c r="EX74" s="52">
        <v>0.14</v>
      </c>
      <c r="EY74" s="52">
        <v>0.04</v>
      </c>
      <c r="EZ74" s="55"/>
      <c r="FA74" s="33"/>
      <c r="FB74" s="33"/>
      <c r="FC74" s="33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3"/>
      <c r="FO74" s="33"/>
      <c r="FP74" s="33"/>
      <c r="FQ74" s="33"/>
      <c r="FR74" s="33"/>
      <c r="FS74" s="33"/>
      <c r="FT74" s="33"/>
      <c r="FU74" s="33"/>
      <c r="FV74" s="33"/>
      <c r="FW74" s="33"/>
      <c r="FX74" s="33"/>
      <c r="FY74" s="33"/>
      <c r="FZ74" s="33"/>
      <c r="GA74" s="33"/>
    </row>
    <row r="75" ht="15.75" customHeight="1">
      <c r="A75" s="20" t="s">
        <v>298</v>
      </c>
      <c r="B75" s="20"/>
      <c r="C75" s="44"/>
      <c r="D75" s="44"/>
      <c r="E75" s="44"/>
      <c r="F75" s="44"/>
      <c r="G75" s="44"/>
      <c r="H75" s="44"/>
      <c r="I75" s="44"/>
      <c r="J75" s="44"/>
      <c r="K75" s="100"/>
      <c r="L75" s="100"/>
      <c r="M75" s="100"/>
      <c r="N75" s="100"/>
      <c r="O75" s="44"/>
      <c r="P75" s="24"/>
      <c r="Q75" s="24" t="str">
        <f t="shared" si="1"/>
        <v>medium-grained, homogeneous, white marble</v>
      </c>
      <c r="R75" s="51" t="s">
        <v>205</v>
      </c>
      <c r="S75" s="51" t="s">
        <v>189</v>
      </c>
      <c r="T75" s="51" t="s">
        <v>194</v>
      </c>
      <c r="U75" s="51" t="s">
        <v>195</v>
      </c>
      <c r="V75" s="44"/>
      <c r="W75" s="51" t="s">
        <v>166</v>
      </c>
      <c r="X75" s="51">
        <v>2.3</v>
      </c>
      <c r="Y75" s="51" t="s">
        <v>191</v>
      </c>
      <c r="Z75" s="51" t="s">
        <v>184</v>
      </c>
      <c r="AE75" s="110"/>
      <c r="AM75" s="44"/>
      <c r="AN75" s="44"/>
      <c r="AO75" s="43">
        <f t="shared" ref="AO75:AO77" si="6">SUM(AP75,AQ75,AR75)</f>
        <v>0</v>
      </c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  <c r="CB75" s="44"/>
      <c r="CC75" s="44"/>
      <c r="CD75" s="44"/>
      <c r="CV75" s="44"/>
      <c r="CW75" s="103"/>
      <c r="CX75" s="47"/>
      <c r="CY75" s="47"/>
      <c r="DJ75" s="44"/>
      <c r="FA75" s="33"/>
      <c r="FB75" s="33"/>
      <c r="FC75" s="33"/>
      <c r="FD75" s="33"/>
      <c r="FE75" s="33"/>
      <c r="FF75" s="33"/>
      <c r="FG75" s="33"/>
      <c r="FH75" s="33"/>
      <c r="FI75" s="33"/>
      <c r="FJ75" s="33"/>
      <c r="FK75" s="33"/>
      <c r="FL75" s="33"/>
      <c r="FM75" s="33"/>
      <c r="FN75" s="33"/>
      <c r="FO75" s="33"/>
      <c r="FP75" s="33"/>
      <c r="FQ75" s="33"/>
      <c r="FR75" s="33"/>
      <c r="FS75" s="33"/>
      <c r="FT75" s="33"/>
      <c r="FU75" s="33"/>
      <c r="FV75" s="33"/>
      <c r="FW75" s="33"/>
      <c r="FX75" s="33"/>
      <c r="FY75" s="33"/>
      <c r="FZ75" s="33"/>
      <c r="GA75" s="33"/>
    </row>
    <row r="76" ht="15.75" customHeight="1">
      <c r="A76" s="20" t="s">
        <v>299</v>
      </c>
      <c r="B76" s="20"/>
      <c r="C76" s="44"/>
      <c r="D76" s="44"/>
      <c r="E76" s="44"/>
      <c r="F76" s="44"/>
      <c r="G76" s="44"/>
      <c r="H76" s="44"/>
      <c r="I76" s="44"/>
      <c r="J76" s="44"/>
      <c r="K76" s="100"/>
      <c r="L76" s="100"/>
      <c r="M76" s="100"/>
      <c r="N76" s="100"/>
      <c r="O76" s="44"/>
      <c r="P76" s="24"/>
      <c r="Q76" s="24" t="str">
        <f t="shared" si="1"/>
        <v>fine-grained, , grey marble</v>
      </c>
      <c r="R76" s="51" t="s">
        <v>180</v>
      </c>
      <c r="S76" s="51" t="s">
        <v>181</v>
      </c>
      <c r="T76" s="44"/>
      <c r="U76" s="44"/>
      <c r="V76" s="44"/>
      <c r="W76" s="51" t="s">
        <v>166</v>
      </c>
      <c r="X76" s="51">
        <v>1.3</v>
      </c>
      <c r="Y76" s="51" t="s">
        <v>209</v>
      </c>
      <c r="Z76" s="51" t="s">
        <v>198</v>
      </c>
      <c r="AE76" s="110"/>
      <c r="AM76" s="44"/>
      <c r="AN76" s="44"/>
      <c r="AO76" s="43">
        <f t="shared" si="6"/>
        <v>0</v>
      </c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4"/>
      <c r="CC76" s="44"/>
      <c r="CD76" s="44"/>
      <c r="CV76" s="44"/>
      <c r="CW76" s="103"/>
      <c r="CX76" s="116"/>
      <c r="CY76" s="47"/>
      <c r="FA76" s="40"/>
      <c r="FB76" s="40"/>
      <c r="FC76" s="40"/>
      <c r="FD76" s="40"/>
      <c r="FE76" s="40"/>
      <c r="FF76" s="40"/>
      <c r="FG76" s="40"/>
      <c r="FH76" s="40"/>
      <c r="FI76" s="40"/>
      <c r="FJ76" s="40"/>
      <c r="FK76" s="40"/>
      <c r="FL76" s="40"/>
      <c r="FM76" s="40"/>
      <c r="FN76" s="40"/>
      <c r="FO76" s="40"/>
      <c r="FP76" s="40"/>
      <c r="FQ76" s="40"/>
      <c r="FR76" s="40"/>
      <c r="FS76" s="40"/>
      <c r="FT76" s="40"/>
      <c r="FU76" s="40"/>
      <c r="FV76" s="40"/>
      <c r="FW76" s="40"/>
      <c r="FX76" s="40"/>
      <c r="FY76" s="40"/>
      <c r="FZ76" s="40"/>
      <c r="GA76" s="40"/>
    </row>
    <row r="77" ht="15.75" customHeight="1">
      <c r="A77" s="20" t="s">
        <v>300</v>
      </c>
      <c r="B77" s="20"/>
      <c r="C77" s="44"/>
      <c r="D77" s="44"/>
      <c r="E77" s="44"/>
      <c r="F77" s="44"/>
      <c r="G77" s="44"/>
      <c r="H77" s="44"/>
      <c r="I77" s="44"/>
      <c r="J77" s="44"/>
      <c r="K77" s="100"/>
      <c r="L77" s="100"/>
      <c r="M77" s="100"/>
      <c r="N77" s="100"/>
      <c r="O77" s="44"/>
      <c r="P77" s="24"/>
      <c r="Q77" s="24" t="str">
        <f t="shared" si="1"/>
        <v>very fine-grained, veined, white marble</v>
      </c>
      <c r="R77" s="51" t="s">
        <v>188</v>
      </c>
      <c r="S77" s="51" t="s">
        <v>189</v>
      </c>
      <c r="T77" s="51" t="s">
        <v>206</v>
      </c>
      <c r="U77" s="51" t="s">
        <v>181</v>
      </c>
      <c r="V77" s="44"/>
      <c r="W77" s="51" t="s">
        <v>166</v>
      </c>
      <c r="X77" s="51">
        <v>0.9</v>
      </c>
      <c r="Y77" s="51" t="s">
        <v>209</v>
      </c>
      <c r="Z77" s="51" t="s">
        <v>219</v>
      </c>
      <c r="AE77" s="110"/>
      <c r="AM77" s="44"/>
      <c r="AN77" s="44"/>
      <c r="AO77" s="43">
        <f t="shared" si="6"/>
        <v>0</v>
      </c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V77" s="44"/>
      <c r="CW77" s="103"/>
      <c r="CX77" s="116"/>
      <c r="CY77" s="47"/>
      <c r="FA77" s="40"/>
      <c r="FB77" s="40"/>
      <c r="FC77" s="40"/>
      <c r="FD77" s="40"/>
      <c r="FE77" s="40"/>
      <c r="FF77" s="40"/>
      <c r="FG77" s="40"/>
      <c r="FH77" s="40"/>
      <c r="FI77" s="40"/>
      <c r="FJ77" s="40"/>
      <c r="FK77" s="40"/>
      <c r="FL77" s="40"/>
      <c r="FM77" s="40"/>
      <c r="FN77" s="40"/>
      <c r="FO77" s="40"/>
      <c r="FP77" s="40"/>
      <c r="FQ77" s="40"/>
      <c r="FR77" s="40"/>
      <c r="FS77" s="40"/>
      <c r="FT77" s="40"/>
      <c r="FU77" s="40"/>
      <c r="FV77" s="40"/>
      <c r="FW77" s="40"/>
      <c r="FX77" s="40"/>
      <c r="FY77" s="40"/>
      <c r="FZ77" s="40"/>
      <c r="GA77" s="40"/>
    </row>
    <row r="78" ht="15.75" customHeight="1">
      <c r="A78" s="20" t="s">
        <v>301</v>
      </c>
      <c r="B78" s="20"/>
      <c r="C78" s="44"/>
      <c r="D78" s="44"/>
      <c r="E78" s="44"/>
      <c r="F78" s="44"/>
      <c r="G78" s="44"/>
      <c r="H78" s="44"/>
      <c r="I78" s="44"/>
      <c r="J78" s="44"/>
      <c r="K78" s="100"/>
      <c r="L78" s="100"/>
      <c r="M78" s="100"/>
      <c r="N78" s="100"/>
      <c r="O78" s="44"/>
      <c r="P78" s="24"/>
      <c r="Q78" s="24" t="str">
        <f t="shared" si="1"/>
        <v>fine-grained, homogeneous, white marble</v>
      </c>
      <c r="R78" s="51" t="s">
        <v>180</v>
      </c>
      <c r="S78" s="51" t="s">
        <v>189</v>
      </c>
      <c r="T78" s="51" t="s">
        <v>194</v>
      </c>
      <c r="U78" s="51" t="s">
        <v>195</v>
      </c>
      <c r="V78" s="44"/>
      <c r="W78" s="51" t="s">
        <v>166</v>
      </c>
      <c r="X78" s="51">
        <v>1.5</v>
      </c>
      <c r="Y78" s="51" t="s">
        <v>209</v>
      </c>
      <c r="Z78" s="51" t="s">
        <v>184</v>
      </c>
      <c r="AE78" s="110"/>
      <c r="AM78" s="44"/>
      <c r="AN78" s="44"/>
      <c r="AO78" s="43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44"/>
      <c r="CV78" s="44"/>
      <c r="CW78" s="103"/>
      <c r="CX78" s="116"/>
      <c r="CY78" s="47"/>
      <c r="FA78" s="33"/>
      <c r="FB78" s="33"/>
      <c r="FC78" s="33"/>
      <c r="FD78" s="33"/>
      <c r="FE78" s="33"/>
      <c r="FF78" s="33"/>
      <c r="FG78" s="33"/>
      <c r="FH78" s="33"/>
      <c r="FI78" s="33"/>
      <c r="FJ78" s="33"/>
      <c r="FK78" s="33"/>
      <c r="FL78" s="33"/>
      <c r="FM78" s="33"/>
      <c r="FN78" s="33"/>
      <c r="FO78" s="33"/>
      <c r="FP78" s="33"/>
      <c r="FQ78" s="33"/>
      <c r="FR78" s="33"/>
      <c r="FS78" s="33"/>
      <c r="FT78" s="33"/>
      <c r="FU78" s="33"/>
      <c r="FV78" s="33"/>
      <c r="FW78" s="33"/>
      <c r="FX78" s="33"/>
      <c r="FY78" s="33"/>
      <c r="FZ78" s="33"/>
      <c r="GA78" s="33"/>
    </row>
    <row r="79" ht="15.75" customHeight="1">
      <c r="A79" s="20" t="s">
        <v>302</v>
      </c>
      <c r="B79" s="20"/>
      <c r="C79" s="44"/>
      <c r="D79" s="44"/>
      <c r="E79" s="44"/>
      <c r="F79" s="44"/>
      <c r="G79" s="44"/>
      <c r="H79" s="44"/>
      <c r="I79" s="44"/>
      <c r="J79" s="44"/>
      <c r="K79" s="100"/>
      <c r="L79" s="100"/>
      <c r="M79" s="100"/>
      <c r="N79" s="100"/>
      <c r="O79" s="44"/>
      <c r="P79" s="24"/>
      <c r="Q79" s="24" t="str">
        <f t="shared" si="1"/>
        <v>fine-grained, homogeneous, grey marble</v>
      </c>
      <c r="R79" s="51" t="s">
        <v>180</v>
      </c>
      <c r="S79" s="51" t="s">
        <v>181</v>
      </c>
      <c r="T79" s="51" t="s">
        <v>194</v>
      </c>
      <c r="U79" s="51" t="s">
        <v>195</v>
      </c>
      <c r="V79" s="44"/>
      <c r="W79" s="51" t="s">
        <v>166</v>
      </c>
      <c r="X79" s="51">
        <v>0.9</v>
      </c>
      <c r="Y79" s="51" t="s">
        <v>209</v>
      </c>
      <c r="Z79" s="51" t="s">
        <v>219</v>
      </c>
      <c r="AE79" s="110"/>
      <c r="AM79" s="44"/>
      <c r="AN79" s="44"/>
      <c r="AO79" s="43">
        <f t="shared" ref="AO79:AO120" si="7">SUM(AP79,AQ79,AR79)</f>
        <v>0</v>
      </c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V79" s="44"/>
      <c r="CW79" s="103"/>
      <c r="CX79" s="116"/>
      <c r="CY79" s="47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33"/>
      <c r="FN79" s="33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</row>
    <row r="80" ht="15.75" customHeight="1">
      <c r="A80" s="20" t="s">
        <v>303</v>
      </c>
      <c r="B80" s="20"/>
      <c r="C80" s="44"/>
      <c r="D80" s="44"/>
      <c r="E80" s="44"/>
      <c r="F80" s="44"/>
      <c r="G80" s="44"/>
      <c r="H80" s="44"/>
      <c r="I80" s="44"/>
      <c r="J80" s="44"/>
      <c r="K80" s="100"/>
      <c r="L80" s="100"/>
      <c r="M80" s="100"/>
      <c r="N80" s="100"/>
      <c r="O80" s="44"/>
      <c r="P80" s="24"/>
      <c r="Q80" s="24" t="str">
        <f t="shared" si="1"/>
        <v>fine-grained, banded, white marble</v>
      </c>
      <c r="R80" s="51" t="s">
        <v>180</v>
      </c>
      <c r="S80" s="51" t="s">
        <v>189</v>
      </c>
      <c r="T80" s="51" t="s">
        <v>182</v>
      </c>
      <c r="U80" s="51" t="s">
        <v>181</v>
      </c>
      <c r="V80" s="44"/>
      <c r="W80" s="51" t="s">
        <v>166</v>
      </c>
      <c r="X80" s="51">
        <v>0.4</v>
      </c>
      <c r="Y80" s="51" t="s">
        <v>209</v>
      </c>
      <c r="Z80" s="51" t="s">
        <v>184</v>
      </c>
      <c r="AE80" s="110"/>
      <c r="AM80" s="44"/>
      <c r="AN80" s="44"/>
      <c r="AO80" s="43">
        <f t="shared" si="7"/>
        <v>0</v>
      </c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4"/>
      <c r="CC80" s="44"/>
      <c r="CD80" s="44"/>
      <c r="CV80" s="44"/>
      <c r="CW80" s="103"/>
      <c r="CX80" s="116"/>
      <c r="CY80" s="47"/>
      <c r="FA80" s="33"/>
      <c r="FB80" s="33"/>
      <c r="FC80" s="33"/>
      <c r="FD80" s="33"/>
      <c r="FE80" s="33"/>
      <c r="FF80" s="33"/>
      <c r="FG80" s="33"/>
      <c r="FH80" s="33"/>
      <c r="FI80" s="33"/>
      <c r="FJ80" s="33"/>
      <c r="FK80" s="33"/>
      <c r="FL80" s="33"/>
      <c r="FM80" s="33"/>
      <c r="FN80" s="33"/>
      <c r="FO80" s="33"/>
      <c r="FP80" s="33"/>
      <c r="FQ80" s="33"/>
      <c r="FR80" s="33"/>
      <c r="FS80" s="33"/>
      <c r="FT80" s="33"/>
      <c r="FU80" s="33"/>
      <c r="FV80" s="33"/>
      <c r="FW80" s="33"/>
      <c r="FX80" s="33"/>
      <c r="FY80" s="33"/>
      <c r="FZ80" s="33"/>
      <c r="GA80" s="33"/>
    </row>
    <row r="81" ht="15.75" customHeight="1">
      <c r="A81" s="20" t="s">
        <v>304</v>
      </c>
      <c r="B81" s="20"/>
      <c r="C81" s="22"/>
      <c r="D81" s="22"/>
      <c r="E81" s="22"/>
      <c r="F81" s="22"/>
      <c r="G81" s="22"/>
      <c r="H81" s="22"/>
      <c r="I81" s="22"/>
      <c r="J81" s="22"/>
      <c r="K81" s="48" t="s">
        <v>225</v>
      </c>
      <c r="L81" s="23"/>
      <c r="M81" s="23"/>
      <c r="N81" s="23"/>
      <c r="O81" s="22" t="s">
        <v>164</v>
      </c>
      <c r="P81" s="24"/>
      <c r="Q81" s="24" t="str">
        <f t="shared" si="1"/>
        <v>very fine-grained, homogeneous, grey marble</v>
      </c>
      <c r="R81" s="20" t="s">
        <v>188</v>
      </c>
      <c r="S81" s="22" t="s">
        <v>181</v>
      </c>
      <c r="T81" s="24" t="s">
        <v>194</v>
      </c>
      <c r="U81" s="22" t="s">
        <v>195</v>
      </c>
      <c r="V81" s="22" t="s">
        <v>166</v>
      </c>
      <c r="W81" s="20" t="s">
        <v>166</v>
      </c>
      <c r="X81" s="22">
        <v>0.3</v>
      </c>
      <c r="Y81" s="22" t="s">
        <v>209</v>
      </c>
      <c r="Z81" s="22" t="s">
        <v>184</v>
      </c>
      <c r="AA81" s="33"/>
      <c r="AB81" s="50" t="s">
        <v>166</v>
      </c>
      <c r="AC81" s="106">
        <v>0.7</v>
      </c>
      <c r="AD81" s="106" t="s">
        <v>196</v>
      </c>
      <c r="AE81" s="107" t="s">
        <v>245</v>
      </c>
      <c r="AF81" s="106" t="s">
        <v>166</v>
      </c>
      <c r="AG81" s="33" t="s">
        <v>164</v>
      </c>
      <c r="AH81" s="33" t="s">
        <v>164</v>
      </c>
      <c r="AI81" s="33" t="s">
        <v>164</v>
      </c>
      <c r="AJ81" s="33" t="s">
        <v>164</v>
      </c>
      <c r="AK81" s="33" t="s">
        <v>164</v>
      </c>
      <c r="AL81" s="33" t="s">
        <v>164</v>
      </c>
      <c r="AM81" s="22"/>
      <c r="AN81" s="22"/>
      <c r="AO81" s="43">
        <f t="shared" si="7"/>
        <v>0</v>
      </c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 t="s">
        <v>164</v>
      </c>
      <c r="BF81" s="22" t="s">
        <v>164</v>
      </c>
      <c r="BG81" s="22" t="s">
        <v>164</v>
      </c>
      <c r="BH81" s="22" t="s">
        <v>164</v>
      </c>
      <c r="BI81" s="22"/>
      <c r="BJ81" s="22" t="s">
        <v>164</v>
      </c>
      <c r="BK81" s="22"/>
      <c r="BL81" s="22" t="s">
        <v>164</v>
      </c>
      <c r="BM81" s="22"/>
      <c r="BN81" s="22" t="s">
        <v>164</v>
      </c>
      <c r="BO81" s="22"/>
      <c r="BP81" s="22"/>
      <c r="BQ81" s="22"/>
      <c r="BR81" s="22" t="s">
        <v>164</v>
      </c>
      <c r="BS81" s="22"/>
      <c r="BT81" s="22" t="s">
        <v>164</v>
      </c>
      <c r="BU81" s="22"/>
      <c r="BV81" s="22"/>
      <c r="BW81" s="22"/>
      <c r="BX81" s="22" t="s">
        <v>164</v>
      </c>
      <c r="BY81" s="22"/>
      <c r="BZ81" s="22" t="s">
        <v>164</v>
      </c>
      <c r="CA81" s="22"/>
      <c r="CB81" s="22" t="s">
        <v>164</v>
      </c>
      <c r="CC81" s="22"/>
      <c r="CD81" s="22" t="s">
        <v>164</v>
      </c>
      <c r="CE81" s="33" t="s">
        <v>164</v>
      </c>
      <c r="CF81" s="33" t="s">
        <v>164</v>
      </c>
      <c r="CG81" s="33" t="s">
        <v>164</v>
      </c>
      <c r="CH81" s="33" t="s">
        <v>164</v>
      </c>
      <c r="CI81" s="33" t="s">
        <v>164</v>
      </c>
      <c r="CJ81" s="33" t="s">
        <v>164</v>
      </c>
      <c r="CK81" s="33" t="s">
        <v>164</v>
      </c>
      <c r="CL81" s="33" t="s">
        <v>164</v>
      </c>
      <c r="CM81" s="33" t="s">
        <v>164</v>
      </c>
      <c r="CN81" s="33" t="s">
        <v>164</v>
      </c>
      <c r="CO81" s="33" t="s">
        <v>164</v>
      </c>
      <c r="CP81" s="33" t="s">
        <v>164</v>
      </c>
      <c r="CQ81" s="33" t="s">
        <v>164</v>
      </c>
      <c r="CR81" s="33" t="s">
        <v>164</v>
      </c>
      <c r="CS81" s="33" t="s">
        <v>164</v>
      </c>
      <c r="CT81" s="33" t="s">
        <v>164</v>
      </c>
      <c r="CU81" s="33" t="s">
        <v>164</v>
      </c>
      <c r="CV81" s="25" t="s">
        <v>164</v>
      </c>
      <c r="CW81" s="37" t="s">
        <v>166</v>
      </c>
      <c r="CX81" s="117">
        <v>2.06</v>
      </c>
      <c r="CY81" s="38">
        <v>-1.5</v>
      </c>
      <c r="CZ81" s="50" t="s">
        <v>166</v>
      </c>
      <c r="DA81" s="33" t="s">
        <v>164</v>
      </c>
      <c r="DB81" s="33" t="s">
        <v>164</v>
      </c>
      <c r="DC81" s="33" t="s">
        <v>164</v>
      </c>
      <c r="DD81" s="33" t="s">
        <v>164</v>
      </c>
      <c r="DE81" s="33" t="s">
        <v>164</v>
      </c>
      <c r="DF81" s="33" t="s">
        <v>164</v>
      </c>
      <c r="DG81" s="33" t="s">
        <v>164</v>
      </c>
      <c r="DH81" s="33" t="s">
        <v>164</v>
      </c>
      <c r="DI81" s="33" t="s">
        <v>164</v>
      </c>
      <c r="DJ81" s="50" t="s">
        <v>166</v>
      </c>
      <c r="DK81" s="52">
        <v>2.27</v>
      </c>
      <c r="DL81" s="52">
        <v>7.53</v>
      </c>
      <c r="DM81" s="52">
        <v>240.7</v>
      </c>
      <c r="DN81" s="52">
        <v>5216.38</v>
      </c>
      <c r="DO81" s="52">
        <v>0.253989924</v>
      </c>
      <c r="DP81" s="52">
        <v>30.4</v>
      </c>
      <c r="DQ81" s="52">
        <v>2.21</v>
      </c>
      <c r="DR81" s="52">
        <v>4.78</v>
      </c>
      <c r="DS81" s="52">
        <v>34.5</v>
      </c>
      <c r="DT81" s="52">
        <v>449.42</v>
      </c>
      <c r="DU81" s="52">
        <v>0.35</v>
      </c>
      <c r="DV81" s="52">
        <v>2.87</v>
      </c>
      <c r="DW81" s="52">
        <v>0.71</v>
      </c>
      <c r="DX81" s="52">
        <v>16.37</v>
      </c>
      <c r="DY81" s="52">
        <v>0.36</v>
      </c>
      <c r="DZ81" s="52">
        <v>0.33</v>
      </c>
      <c r="EA81" s="52">
        <v>0.77</v>
      </c>
      <c r="EB81" s="52">
        <v>209.53</v>
      </c>
      <c r="EC81" s="52">
        <v>2.48</v>
      </c>
      <c r="ED81" s="52">
        <v>1.55</v>
      </c>
      <c r="EE81" s="52">
        <v>0.27</v>
      </c>
      <c r="EF81" s="52">
        <v>0.01</v>
      </c>
      <c r="EG81" s="52">
        <v>0.4</v>
      </c>
      <c r="EH81" s="52">
        <v>0.02</v>
      </c>
      <c r="EI81" s="52">
        <v>0.05</v>
      </c>
      <c r="EJ81" s="52">
        <v>5.8</v>
      </c>
      <c r="EK81" s="52">
        <v>0.88</v>
      </c>
      <c r="EL81" s="52">
        <v>0.64</v>
      </c>
      <c r="EM81" s="52">
        <v>0.61</v>
      </c>
      <c r="EN81" s="52">
        <v>0.12</v>
      </c>
      <c r="EO81" s="52">
        <v>0.03</v>
      </c>
      <c r="EP81" s="52">
        <v>0.14</v>
      </c>
      <c r="EQ81" s="52">
        <v>0.22</v>
      </c>
      <c r="ER81" s="52">
        <v>0.17</v>
      </c>
      <c r="ES81" s="52">
        <v>0.14</v>
      </c>
      <c r="ET81" s="52">
        <v>0.029017407</v>
      </c>
      <c r="EU81" s="52">
        <v>14.46</v>
      </c>
      <c r="EV81" s="52">
        <v>4.99</v>
      </c>
      <c r="EW81" s="52">
        <v>1.83</v>
      </c>
      <c r="EX81" s="52">
        <v>0.13</v>
      </c>
      <c r="EY81" s="52">
        <v>0.11</v>
      </c>
      <c r="EZ81" s="55"/>
      <c r="FA81" s="33"/>
      <c r="FB81" s="33"/>
      <c r="FC81" s="33"/>
      <c r="FD81" s="33"/>
      <c r="FE81" s="33"/>
      <c r="FF81" s="33"/>
      <c r="FG81" s="33"/>
      <c r="FH81" s="33"/>
      <c r="FI81" s="33"/>
      <c r="FJ81" s="33"/>
      <c r="FK81" s="33"/>
      <c r="FL81" s="33"/>
      <c r="FM81" s="33"/>
      <c r="FN81" s="33"/>
      <c r="FO81" s="33"/>
      <c r="FP81" s="33"/>
      <c r="FQ81" s="33"/>
      <c r="FR81" s="33"/>
      <c r="FS81" s="33"/>
      <c r="FT81" s="33"/>
      <c r="FU81" s="33"/>
      <c r="FV81" s="33"/>
      <c r="FW81" s="33"/>
      <c r="FX81" s="33"/>
      <c r="FY81" s="33"/>
      <c r="FZ81" s="33"/>
      <c r="GA81" s="33"/>
    </row>
    <row r="82" ht="15.75" customHeight="1">
      <c r="A82" s="20" t="s">
        <v>305</v>
      </c>
      <c r="B82" s="20"/>
      <c r="C82" s="44"/>
      <c r="D82" s="44"/>
      <c r="E82" s="44"/>
      <c r="F82" s="44"/>
      <c r="G82" s="44"/>
      <c r="H82" s="44"/>
      <c r="I82" s="44"/>
      <c r="J82" s="44"/>
      <c r="K82" s="100"/>
      <c r="L82" s="100"/>
      <c r="M82" s="100"/>
      <c r="N82" s="100"/>
      <c r="O82" s="44"/>
      <c r="P82" s="24"/>
      <c r="Q82" s="24" t="str">
        <f t="shared" si="1"/>
        <v>fine-grained, veined, white marble</v>
      </c>
      <c r="R82" s="51" t="s">
        <v>180</v>
      </c>
      <c r="S82" s="51" t="s">
        <v>189</v>
      </c>
      <c r="T82" s="51" t="s">
        <v>206</v>
      </c>
      <c r="U82" s="51" t="s">
        <v>254</v>
      </c>
      <c r="V82" s="44"/>
      <c r="W82" s="51" t="s">
        <v>166</v>
      </c>
      <c r="X82" s="51">
        <v>1.3</v>
      </c>
      <c r="Y82" s="51" t="s">
        <v>191</v>
      </c>
      <c r="Z82" s="51" t="s">
        <v>184</v>
      </c>
      <c r="AE82" s="110"/>
      <c r="AM82" s="44"/>
      <c r="AN82" s="44"/>
      <c r="AO82" s="43">
        <f t="shared" si="7"/>
        <v>0</v>
      </c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44"/>
      <c r="CV82" s="44"/>
      <c r="CW82" s="103"/>
      <c r="CX82" s="116"/>
      <c r="CY82" s="47"/>
      <c r="FA82" s="33"/>
      <c r="FB82" s="33"/>
      <c r="FC82" s="33"/>
      <c r="FD82" s="33"/>
      <c r="FE82" s="33"/>
      <c r="FF82" s="33"/>
      <c r="FG82" s="33"/>
      <c r="FH82" s="33"/>
      <c r="FI82" s="33"/>
      <c r="FJ82" s="33"/>
      <c r="FK82" s="33"/>
      <c r="FL82" s="33"/>
      <c r="FM82" s="33"/>
      <c r="FN82" s="33"/>
      <c r="FO82" s="33"/>
      <c r="FP82" s="33"/>
      <c r="FQ82" s="33"/>
      <c r="FR82" s="33"/>
      <c r="FS82" s="33"/>
      <c r="FT82" s="33"/>
      <c r="FU82" s="33"/>
      <c r="FV82" s="33"/>
      <c r="FW82" s="33"/>
      <c r="FX82" s="33"/>
      <c r="FY82" s="33"/>
      <c r="FZ82" s="33"/>
      <c r="GA82" s="33"/>
    </row>
    <row r="83" ht="15.75" customHeight="1">
      <c r="A83" s="20" t="s">
        <v>306</v>
      </c>
      <c r="B83" s="20"/>
      <c r="C83" s="22"/>
      <c r="D83" s="22"/>
      <c r="E83" s="22"/>
      <c r="F83" s="22"/>
      <c r="G83" s="22"/>
      <c r="H83" s="22"/>
      <c r="I83" s="22"/>
      <c r="J83" s="22"/>
      <c r="K83" s="23"/>
      <c r="L83" s="23"/>
      <c r="M83" s="23"/>
      <c r="N83" s="23"/>
      <c r="O83" s="22"/>
      <c r="P83" s="24"/>
      <c r="Q83" s="24" t="str">
        <f t="shared" si="1"/>
        <v>medium-grained, banded, white marble</v>
      </c>
      <c r="R83" s="20" t="s">
        <v>205</v>
      </c>
      <c r="S83" s="20" t="s">
        <v>189</v>
      </c>
      <c r="T83" s="20" t="s">
        <v>182</v>
      </c>
      <c r="U83" s="20" t="s">
        <v>181</v>
      </c>
      <c r="V83" s="22"/>
      <c r="W83" s="20" t="s">
        <v>166</v>
      </c>
      <c r="X83" s="20">
        <v>3.7</v>
      </c>
      <c r="Y83" s="20" t="s">
        <v>183</v>
      </c>
      <c r="Z83" s="20" t="s">
        <v>192</v>
      </c>
      <c r="AE83" s="110"/>
      <c r="AM83" s="22"/>
      <c r="AN83" s="22"/>
      <c r="AO83" s="43">
        <f t="shared" si="7"/>
        <v>0</v>
      </c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V83" s="25" t="s">
        <v>164</v>
      </c>
      <c r="CW83" s="103"/>
      <c r="CX83" s="116"/>
      <c r="CY83" s="47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  <c r="FN83" s="33"/>
      <c r="FO83" s="33"/>
      <c r="FP83" s="33"/>
      <c r="FQ83" s="33"/>
      <c r="FR83" s="33"/>
      <c r="FS83" s="33"/>
      <c r="FT83" s="33"/>
      <c r="FU83" s="33"/>
      <c r="FV83" s="33"/>
      <c r="FW83" s="33"/>
      <c r="FX83" s="33"/>
      <c r="FY83" s="33"/>
      <c r="FZ83" s="33"/>
      <c r="GA83" s="33"/>
    </row>
    <row r="84" ht="15.75" customHeight="1">
      <c r="A84" s="20" t="s">
        <v>307</v>
      </c>
      <c r="B84" s="20"/>
      <c r="C84" s="22"/>
      <c r="D84" s="22"/>
      <c r="E84" s="22"/>
      <c r="F84" s="22"/>
      <c r="G84" s="22"/>
      <c r="H84" s="22"/>
      <c r="I84" s="22"/>
      <c r="J84" s="22"/>
      <c r="K84" s="23"/>
      <c r="L84" s="23"/>
      <c r="M84" s="23"/>
      <c r="N84" s="23"/>
      <c r="O84" s="22"/>
      <c r="P84" s="24"/>
      <c r="Q84" s="24" t="str">
        <f t="shared" si="1"/>
        <v>medium-grained, banded, white marble</v>
      </c>
      <c r="R84" s="20" t="s">
        <v>205</v>
      </c>
      <c r="S84" s="20" t="s">
        <v>189</v>
      </c>
      <c r="T84" s="20" t="s">
        <v>182</v>
      </c>
      <c r="U84" s="20" t="s">
        <v>181</v>
      </c>
      <c r="V84" s="22"/>
      <c r="W84" s="20" t="s">
        <v>166</v>
      </c>
      <c r="X84" s="20">
        <v>4.8</v>
      </c>
      <c r="Y84" s="20" t="s">
        <v>183</v>
      </c>
      <c r="Z84" s="20" t="s">
        <v>192</v>
      </c>
      <c r="AE84" s="110"/>
      <c r="AM84" s="22"/>
      <c r="AN84" s="22"/>
      <c r="AO84" s="43">
        <f t="shared" si="7"/>
        <v>0</v>
      </c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V84" s="25" t="s">
        <v>164</v>
      </c>
      <c r="CW84" s="103"/>
      <c r="CX84" s="47"/>
      <c r="CY84" s="47"/>
      <c r="DJ84" s="25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  <c r="ET84" s="33"/>
      <c r="EU84" s="33"/>
      <c r="EV84" s="33"/>
      <c r="EW84" s="33"/>
      <c r="EX84" s="33"/>
      <c r="EY84" s="33"/>
      <c r="EZ84" s="33"/>
      <c r="FA84" s="33"/>
      <c r="FB84" s="33"/>
      <c r="FC84" s="33"/>
      <c r="FD84" s="33"/>
      <c r="FE84" s="33"/>
      <c r="FF84" s="33"/>
      <c r="FG84" s="33"/>
      <c r="FH84" s="33"/>
      <c r="FI84" s="33"/>
      <c r="FJ84" s="33"/>
      <c r="FK84" s="33"/>
      <c r="FL84" s="33"/>
      <c r="FM84" s="33"/>
      <c r="FN84" s="33"/>
      <c r="FO84" s="33"/>
      <c r="FP84" s="33"/>
      <c r="FQ84" s="33"/>
      <c r="FR84" s="33"/>
      <c r="FS84" s="33"/>
      <c r="FT84" s="33"/>
      <c r="FU84" s="33"/>
      <c r="FV84" s="33"/>
      <c r="FW84" s="33"/>
      <c r="FX84" s="33"/>
      <c r="FY84" s="33"/>
      <c r="FZ84" s="33"/>
      <c r="GA84" s="33"/>
    </row>
    <row r="85" ht="15.75" customHeight="1">
      <c r="A85" s="20" t="s">
        <v>308</v>
      </c>
      <c r="B85" s="20"/>
      <c r="C85" s="44"/>
      <c r="D85" s="44"/>
      <c r="E85" s="44"/>
      <c r="F85" s="44"/>
      <c r="G85" s="44"/>
      <c r="H85" s="44"/>
      <c r="I85" s="44"/>
      <c r="J85" s="44"/>
      <c r="K85" s="100"/>
      <c r="L85" s="100"/>
      <c r="M85" s="100"/>
      <c r="N85" s="100"/>
      <c r="O85" s="44"/>
      <c r="P85" s="24"/>
      <c r="Q85" s="24" t="str">
        <f t="shared" si="1"/>
        <v>fine-grained, banded, grey marble</v>
      </c>
      <c r="R85" s="51" t="s">
        <v>180</v>
      </c>
      <c r="S85" s="51" t="s">
        <v>181</v>
      </c>
      <c r="T85" s="51" t="s">
        <v>182</v>
      </c>
      <c r="U85" s="51" t="s">
        <v>189</v>
      </c>
      <c r="V85" s="44"/>
      <c r="W85" s="51" t="s">
        <v>166</v>
      </c>
      <c r="X85" s="51">
        <v>0.3</v>
      </c>
      <c r="Y85" s="51" t="s">
        <v>196</v>
      </c>
      <c r="Z85" s="51" t="s">
        <v>198</v>
      </c>
      <c r="AE85" s="110"/>
      <c r="AM85" s="44"/>
      <c r="AN85" s="44"/>
      <c r="AO85" s="43">
        <f t="shared" si="7"/>
        <v>0</v>
      </c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V85" s="44"/>
      <c r="CW85" s="103"/>
      <c r="CX85" s="47"/>
      <c r="CY85" s="47"/>
      <c r="FA85" s="33"/>
      <c r="FB85" s="33"/>
      <c r="FC85" s="33"/>
      <c r="FD85" s="33"/>
      <c r="FE85" s="33"/>
      <c r="FF85" s="33"/>
      <c r="FG85" s="33"/>
      <c r="FH85" s="33"/>
      <c r="FI85" s="33"/>
      <c r="FJ85" s="33"/>
      <c r="FK85" s="33"/>
      <c r="FL85" s="33"/>
      <c r="FM85" s="33"/>
      <c r="FN85" s="33"/>
      <c r="FO85" s="33"/>
      <c r="FP85" s="33"/>
      <c r="FQ85" s="33"/>
      <c r="FR85" s="33"/>
      <c r="FS85" s="33"/>
      <c r="FT85" s="33"/>
      <c r="FU85" s="33"/>
      <c r="FV85" s="33"/>
      <c r="FW85" s="33"/>
      <c r="FX85" s="33"/>
      <c r="FY85" s="33"/>
      <c r="FZ85" s="33"/>
      <c r="GA85" s="33"/>
    </row>
    <row r="86" ht="15.75" customHeight="1">
      <c r="A86" s="20" t="s">
        <v>309</v>
      </c>
      <c r="B86" s="20"/>
      <c r="C86" s="44"/>
      <c r="D86" s="44"/>
      <c r="E86" s="44"/>
      <c r="F86" s="44"/>
      <c r="G86" s="44"/>
      <c r="H86" s="44"/>
      <c r="I86" s="44"/>
      <c r="J86" s="44"/>
      <c r="K86" s="100"/>
      <c r="L86" s="100"/>
      <c r="M86" s="100"/>
      <c r="N86" s="100"/>
      <c r="O86" s="44"/>
      <c r="P86" s="24"/>
      <c r="Q86" s="24" t="str">
        <f t="shared" si="1"/>
        <v>very fine-grained, veined, white marble</v>
      </c>
      <c r="R86" s="51" t="s">
        <v>188</v>
      </c>
      <c r="S86" s="51" t="s">
        <v>189</v>
      </c>
      <c r="T86" s="51" t="s">
        <v>206</v>
      </c>
      <c r="U86" s="51" t="s">
        <v>248</v>
      </c>
      <c r="V86" s="44"/>
      <c r="W86" s="51" t="s">
        <v>166</v>
      </c>
      <c r="X86" s="51">
        <v>0.5</v>
      </c>
      <c r="Y86" s="51" t="s">
        <v>196</v>
      </c>
      <c r="Z86" s="51" t="s">
        <v>198</v>
      </c>
      <c r="AA86" s="106" t="s">
        <v>186</v>
      </c>
      <c r="AB86" s="106" t="s">
        <v>166</v>
      </c>
      <c r="AC86" s="106">
        <v>0.6</v>
      </c>
      <c r="AD86" s="106" t="s">
        <v>196</v>
      </c>
      <c r="AE86" s="107" t="s">
        <v>245</v>
      </c>
      <c r="AF86" s="106" t="s">
        <v>186</v>
      </c>
      <c r="AM86" s="44"/>
      <c r="AN86" s="44"/>
      <c r="AO86" s="43">
        <f t="shared" si="7"/>
        <v>0</v>
      </c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V86" s="44"/>
      <c r="CW86" s="114" t="s">
        <v>166</v>
      </c>
      <c r="CX86" s="118">
        <v>2.07</v>
      </c>
      <c r="CY86" s="118">
        <v>-2.29</v>
      </c>
      <c r="FA86" s="33"/>
      <c r="FB86" s="33"/>
      <c r="FC86" s="33"/>
      <c r="FD86" s="33"/>
      <c r="FE86" s="33"/>
      <c r="FF86" s="33"/>
      <c r="FG86" s="33"/>
      <c r="FH86" s="33"/>
      <c r="FI86" s="33"/>
      <c r="FJ86" s="33"/>
      <c r="FK86" s="33"/>
      <c r="FL86" s="33"/>
      <c r="FM86" s="33"/>
      <c r="FN86" s="33"/>
      <c r="FO86" s="33"/>
      <c r="FP86" s="33"/>
      <c r="FQ86" s="33"/>
      <c r="FR86" s="33"/>
      <c r="FS86" s="33"/>
      <c r="FT86" s="33"/>
      <c r="FU86" s="33"/>
      <c r="FV86" s="33"/>
      <c r="FW86" s="33"/>
      <c r="FX86" s="33"/>
      <c r="FY86" s="33"/>
      <c r="FZ86" s="33"/>
      <c r="GA86" s="33"/>
    </row>
    <row r="87" ht="15.75" customHeight="1">
      <c r="A87" s="20" t="s">
        <v>310</v>
      </c>
      <c r="B87" s="20"/>
      <c r="C87" s="44"/>
      <c r="D87" s="44"/>
      <c r="E87" s="44"/>
      <c r="F87" s="44"/>
      <c r="G87" s="44"/>
      <c r="H87" s="44"/>
      <c r="I87" s="44"/>
      <c r="J87" s="44"/>
      <c r="K87" s="100"/>
      <c r="L87" s="100"/>
      <c r="M87" s="100"/>
      <c r="N87" s="100"/>
      <c r="O87" s="44"/>
      <c r="P87" s="24"/>
      <c r="Q87" s="24" t="str">
        <f t="shared" si="1"/>
        <v>fine-grained, spotted, white marble</v>
      </c>
      <c r="R87" s="51" t="s">
        <v>180</v>
      </c>
      <c r="S87" s="51" t="s">
        <v>189</v>
      </c>
      <c r="T87" s="51" t="s">
        <v>311</v>
      </c>
      <c r="U87" s="51" t="s">
        <v>312</v>
      </c>
      <c r="V87" s="44"/>
      <c r="W87" s="51" t="s">
        <v>166</v>
      </c>
      <c r="X87" s="51">
        <v>1.5</v>
      </c>
      <c r="Y87" s="51" t="s">
        <v>191</v>
      </c>
      <c r="Z87" s="51" t="s">
        <v>213</v>
      </c>
      <c r="AE87" s="110"/>
      <c r="AM87" s="44"/>
      <c r="AN87" s="44"/>
      <c r="AO87" s="43">
        <f t="shared" si="7"/>
        <v>0</v>
      </c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V87" s="44"/>
      <c r="CW87" s="103"/>
      <c r="CX87" s="119"/>
      <c r="CY87" s="119"/>
      <c r="FA87" s="33"/>
      <c r="FB87" s="33"/>
      <c r="FC87" s="33"/>
      <c r="FD87" s="33"/>
      <c r="FE87" s="33"/>
      <c r="FF87" s="33"/>
      <c r="FG87" s="33"/>
      <c r="FH87" s="33"/>
      <c r="FI87" s="33"/>
      <c r="FJ87" s="33"/>
      <c r="FK87" s="33"/>
      <c r="FL87" s="33"/>
      <c r="FM87" s="33"/>
      <c r="FN87" s="33"/>
      <c r="FO87" s="33"/>
      <c r="FP87" s="33"/>
      <c r="FQ87" s="33"/>
      <c r="FR87" s="33"/>
      <c r="FS87" s="33"/>
      <c r="FT87" s="33"/>
      <c r="FU87" s="33"/>
      <c r="FV87" s="33"/>
      <c r="FW87" s="33"/>
      <c r="FX87" s="33"/>
      <c r="FY87" s="33"/>
      <c r="FZ87" s="33"/>
      <c r="GA87" s="33"/>
    </row>
    <row r="88" ht="15.75" customHeight="1">
      <c r="A88" s="20" t="s">
        <v>313</v>
      </c>
      <c r="B88" s="20"/>
      <c r="C88" s="44"/>
      <c r="D88" s="44"/>
      <c r="E88" s="44"/>
      <c r="F88" s="44"/>
      <c r="G88" s="44"/>
      <c r="H88" s="44"/>
      <c r="I88" s="44"/>
      <c r="J88" s="44"/>
      <c r="K88" s="100"/>
      <c r="L88" s="100"/>
      <c r="M88" s="100"/>
      <c r="N88" s="100"/>
      <c r="O88" s="44"/>
      <c r="P88" s="24"/>
      <c r="Q88" s="24" t="str">
        <f t="shared" si="1"/>
        <v>medium-grained, banded, white marble</v>
      </c>
      <c r="R88" s="51" t="s">
        <v>205</v>
      </c>
      <c r="S88" s="51" t="s">
        <v>189</v>
      </c>
      <c r="T88" s="51" t="s">
        <v>182</v>
      </c>
      <c r="U88" s="51" t="s">
        <v>181</v>
      </c>
      <c r="V88" s="51" t="s">
        <v>166</v>
      </c>
      <c r="W88" s="51" t="s">
        <v>166</v>
      </c>
      <c r="X88" s="51">
        <v>2.2</v>
      </c>
      <c r="Y88" s="51" t="s">
        <v>191</v>
      </c>
      <c r="Z88" s="51" t="s">
        <v>219</v>
      </c>
      <c r="AB88" s="106" t="s">
        <v>166</v>
      </c>
      <c r="AC88" s="106">
        <v>1.2</v>
      </c>
      <c r="AD88" s="106" t="s">
        <v>183</v>
      </c>
      <c r="AE88" s="107" t="s">
        <v>198</v>
      </c>
      <c r="AK88" s="106" t="s">
        <v>186</v>
      </c>
      <c r="AM88" s="44"/>
      <c r="AN88" s="44"/>
      <c r="AO88" s="43">
        <f t="shared" si="7"/>
        <v>0</v>
      </c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V88" s="44"/>
      <c r="CW88" s="120" t="s">
        <v>166</v>
      </c>
      <c r="CX88" s="121">
        <v>2.96</v>
      </c>
      <c r="CY88" s="121">
        <v>-1.59</v>
      </c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</row>
    <row r="89" ht="15.75" customHeight="1">
      <c r="A89" s="20" t="s">
        <v>314</v>
      </c>
      <c r="B89" s="20"/>
      <c r="K89" s="100"/>
      <c r="L89" s="100"/>
      <c r="M89" s="100"/>
      <c r="N89" s="100"/>
      <c r="O89" s="44"/>
      <c r="P89" s="24"/>
      <c r="Q89" s="24" t="str">
        <f t="shared" si="1"/>
        <v>very fine-grained, veined, white marble</v>
      </c>
      <c r="R89" s="51" t="s">
        <v>188</v>
      </c>
      <c r="S89" s="51" t="s">
        <v>189</v>
      </c>
      <c r="T89" s="51" t="s">
        <v>206</v>
      </c>
      <c r="U89" s="51" t="s">
        <v>181</v>
      </c>
      <c r="V89" s="44"/>
      <c r="W89" s="51" t="s">
        <v>166</v>
      </c>
      <c r="X89" s="51">
        <v>0.5</v>
      </c>
      <c r="Y89" s="51" t="s">
        <v>209</v>
      </c>
      <c r="Z89" s="51" t="s">
        <v>207</v>
      </c>
      <c r="AB89" s="106" t="s">
        <v>166</v>
      </c>
      <c r="AC89" s="106">
        <v>0.9</v>
      </c>
      <c r="AD89" s="106" t="s">
        <v>183</v>
      </c>
      <c r="AE89" s="107" t="s">
        <v>198</v>
      </c>
      <c r="AF89" s="106" t="s">
        <v>186</v>
      </c>
      <c r="AM89" s="44"/>
      <c r="AN89" s="44"/>
      <c r="AO89" s="43">
        <f t="shared" si="7"/>
        <v>0</v>
      </c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V89" s="44"/>
      <c r="CW89" s="114" t="s">
        <v>166</v>
      </c>
      <c r="CX89" s="122">
        <v>2.01</v>
      </c>
      <c r="CY89" s="122">
        <v>-1.07</v>
      </c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K89" s="33"/>
      <c r="FL89" s="33"/>
      <c r="FM89" s="33"/>
      <c r="FN89" s="33"/>
      <c r="FO89" s="33"/>
      <c r="FP89" s="33"/>
      <c r="FQ89" s="33"/>
      <c r="FR89" s="33"/>
      <c r="FS89" s="33"/>
      <c r="FT89" s="33"/>
      <c r="FU89" s="33"/>
      <c r="FV89" s="33"/>
      <c r="FW89" s="33"/>
      <c r="FX89" s="33"/>
      <c r="FY89" s="33"/>
      <c r="FZ89" s="33"/>
      <c r="GA89" s="33"/>
    </row>
    <row r="90" ht="15.75" customHeight="1">
      <c r="A90" s="20" t="s">
        <v>315</v>
      </c>
      <c r="B90" s="20"/>
      <c r="C90" s="44"/>
      <c r="D90" s="44"/>
      <c r="E90" s="44"/>
      <c r="F90" s="44"/>
      <c r="G90" s="44"/>
      <c r="H90" s="44"/>
      <c r="I90" s="44"/>
      <c r="J90" s="44"/>
      <c r="K90" s="100"/>
      <c r="L90" s="100"/>
      <c r="M90" s="100"/>
      <c r="N90" s="100"/>
      <c r="O90" s="44"/>
      <c r="P90" s="24"/>
      <c r="Q90" s="24" t="str">
        <f t="shared" si="1"/>
        <v>very fine-grained, homogeneous, white marble</v>
      </c>
      <c r="R90" s="51" t="s">
        <v>188</v>
      </c>
      <c r="S90" s="51" t="s">
        <v>189</v>
      </c>
      <c r="T90" s="51" t="s">
        <v>194</v>
      </c>
      <c r="U90" s="51" t="s">
        <v>195</v>
      </c>
      <c r="V90" s="44"/>
      <c r="W90" s="51" t="s">
        <v>166</v>
      </c>
      <c r="X90" s="51">
        <v>0.5</v>
      </c>
      <c r="Y90" s="51" t="s">
        <v>209</v>
      </c>
      <c r="Z90" s="51" t="s">
        <v>184</v>
      </c>
      <c r="AE90" s="110"/>
      <c r="AM90" s="44"/>
      <c r="AN90" s="44"/>
      <c r="AO90" s="43">
        <f t="shared" si="7"/>
        <v>0</v>
      </c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V90" s="44"/>
      <c r="CW90" s="123"/>
      <c r="CX90" s="124"/>
      <c r="CY90" s="124"/>
      <c r="FA90" s="33"/>
      <c r="FB90" s="33"/>
      <c r="FC90" s="33"/>
      <c r="FD90" s="33"/>
      <c r="FE90" s="33"/>
      <c r="FF90" s="33"/>
      <c r="FG90" s="33"/>
      <c r="FH90" s="33"/>
      <c r="FI90" s="33"/>
      <c r="FJ90" s="33"/>
      <c r="FK90" s="33"/>
      <c r="FL90" s="33"/>
      <c r="FM90" s="33"/>
      <c r="FN90" s="33"/>
      <c r="FO90" s="33"/>
      <c r="FP90" s="33"/>
      <c r="FQ90" s="33"/>
      <c r="FR90" s="33"/>
      <c r="FS90" s="33"/>
      <c r="FT90" s="33"/>
      <c r="FU90" s="33"/>
      <c r="FV90" s="33"/>
      <c r="FW90" s="33"/>
      <c r="FX90" s="33"/>
      <c r="FY90" s="33"/>
      <c r="FZ90" s="33"/>
      <c r="GA90" s="33"/>
    </row>
    <row r="91" ht="15.75" customHeight="1">
      <c r="A91" s="20" t="s">
        <v>316</v>
      </c>
      <c r="B91" s="20"/>
      <c r="K91" s="100"/>
      <c r="L91" s="100"/>
      <c r="M91" s="100"/>
      <c r="N91" s="100"/>
      <c r="O91" s="44"/>
      <c r="P91" s="24"/>
      <c r="Q91" s="24" t="str">
        <f t="shared" si="1"/>
        <v>very fine-grained, homogeneous, grey marble</v>
      </c>
      <c r="R91" s="51" t="s">
        <v>188</v>
      </c>
      <c r="S91" s="51" t="s">
        <v>181</v>
      </c>
      <c r="T91" s="51" t="s">
        <v>194</v>
      </c>
      <c r="U91" s="51" t="s">
        <v>195</v>
      </c>
      <c r="V91" s="44"/>
      <c r="W91" s="51" t="s">
        <v>166</v>
      </c>
      <c r="X91" s="51">
        <v>0.9</v>
      </c>
      <c r="Y91" s="51" t="s">
        <v>191</v>
      </c>
      <c r="Z91" s="51" t="s">
        <v>213</v>
      </c>
      <c r="AB91" s="106" t="s">
        <v>166</v>
      </c>
      <c r="AC91" s="106">
        <v>1.2</v>
      </c>
      <c r="AD91" s="106" t="s">
        <v>191</v>
      </c>
      <c r="AE91" s="107" t="s">
        <v>198</v>
      </c>
      <c r="AM91" s="44"/>
      <c r="AN91" s="44"/>
      <c r="AO91" s="43">
        <f t="shared" si="7"/>
        <v>0</v>
      </c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V91" s="44"/>
      <c r="CW91" s="123"/>
      <c r="CX91" s="124"/>
      <c r="CY91" s="124"/>
      <c r="FA91" s="33"/>
      <c r="FB91" s="33"/>
      <c r="FC91" s="33"/>
      <c r="FD91" s="33"/>
      <c r="FE91" s="33"/>
      <c r="FF91" s="33"/>
      <c r="FG91" s="33"/>
      <c r="FH91" s="33"/>
      <c r="FI91" s="33"/>
      <c r="FJ91" s="33"/>
      <c r="FK91" s="33"/>
      <c r="FL91" s="33"/>
      <c r="FM91" s="33"/>
      <c r="FN91" s="33"/>
      <c r="FO91" s="33"/>
      <c r="FP91" s="33"/>
      <c r="FQ91" s="33"/>
      <c r="FR91" s="33"/>
      <c r="FS91" s="33"/>
      <c r="FT91" s="33"/>
      <c r="FU91" s="33"/>
      <c r="FV91" s="33"/>
      <c r="FW91" s="33"/>
      <c r="FX91" s="33"/>
      <c r="FY91" s="33"/>
      <c r="FZ91" s="33"/>
      <c r="GA91" s="33"/>
    </row>
    <row r="92" ht="15.75" customHeight="1">
      <c r="A92" s="20" t="s">
        <v>317</v>
      </c>
      <c r="B92" s="20"/>
      <c r="C92" s="44"/>
      <c r="D92" s="44"/>
      <c r="E92" s="44"/>
      <c r="F92" s="44"/>
      <c r="G92" s="44"/>
      <c r="H92" s="44"/>
      <c r="I92" s="44"/>
      <c r="J92" s="44"/>
      <c r="K92" s="100"/>
      <c r="L92" s="100"/>
      <c r="M92" s="100"/>
      <c r="N92" s="100"/>
      <c r="O92" s="44"/>
      <c r="P92" s="24"/>
      <c r="Q92" s="24" t="str">
        <f t="shared" si="1"/>
        <v>medium-grained, veined, white marble</v>
      </c>
      <c r="R92" s="51" t="s">
        <v>205</v>
      </c>
      <c r="S92" s="51" t="s">
        <v>189</v>
      </c>
      <c r="T92" s="51" t="s">
        <v>206</v>
      </c>
      <c r="U92" s="51" t="s">
        <v>248</v>
      </c>
      <c r="V92" s="44"/>
      <c r="W92" s="51" t="s">
        <v>166</v>
      </c>
      <c r="X92" s="51">
        <v>2.6</v>
      </c>
      <c r="Y92" s="51" t="s">
        <v>183</v>
      </c>
      <c r="Z92" s="51" t="s">
        <v>198</v>
      </c>
      <c r="AB92" s="106" t="s">
        <v>166</v>
      </c>
      <c r="AC92" s="106">
        <v>1.3</v>
      </c>
      <c r="AD92" s="106" t="s">
        <v>191</v>
      </c>
      <c r="AE92" s="107" t="s">
        <v>198</v>
      </c>
      <c r="AF92" s="106" t="s">
        <v>186</v>
      </c>
      <c r="AM92" s="44"/>
      <c r="AN92" s="44"/>
      <c r="AO92" s="43">
        <f t="shared" si="7"/>
        <v>0</v>
      </c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V92" s="44"/>
      <c r="CW92" s="103"/>
      <c r="CX92" s="47"/>
      <c r="CY92" s="104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</row>
    <row r="93" ht="15.75" customHeight="1">
      <c r="A93" s="20" t="s">
        <v>318</v>
      </c>
      <c r="B93" s="20"/>
      <c r="C93" s="44"/>
      <c r="D93" s="44"/>
      <c r="E93" s="44"/>
      <c r="F93" s="44"/>
      <c r="G93" s="44"/>
      <c r="H93" s="44"/>
      <c r="I93" s="44"/>
      <c r="J93" s="44"/>
      <c r="K93" s="100"/>
      <c r="L93" s="100"/>
      <c r="M93" s="100"/>
      <c r="N93" s="100"/>
      <c r="O93" s="44"/>
      <c r="P93" s="24"/>
      <c r="Q93" s="24" t="str">
        <f t="shared" si="1"/>
        <v>very fine-grained, homogeneous, white marble</v>
      </c>
      <c r="R93" s="51" t="s">
        <v>188</v>
      </c>
      <c r="S93" s="51" t="s">
        <v>189</v>
      </c>
      <c r="T93" s="51" t="s">
        <v>194</v>
      </c>
      <c r="U93" s="51" t="s">
        <v>195</v>
      </c>
      <c r="V93" s="44"/>
      <c r="W93" s="51" t="s">
        <v>166</v>
      </c>
      <c r="X93" s="51">
        <v>1.2</v>
      </c>
      <c r="Y93" s="51" t="s">
        <v>209</v>
      </c>
      <c r="Z93" s="51" t="s">
        <v>198</v>
      </c>
      <c r="AB93" s="106" t="s">
        <v>166</v>
      </c>
      <c r="AC93" s="106">
        <v>0.4</v>
      </c>
      <c r="AD93" s="106" t="s">
        <v>196</v>
      </c>
      <c r="AE93" s="107" t="s">
        <v>245</v>
      </c>
      <c r="AF93" s="106" t="s">
        <v>186</v>
      </c>
      <c r="AM93" s="44"/>
      <c r="AN93" s="44"/>
      <c r="AO93" s="43">
        <f t="shared" si="7"/>
        <v>0</v>
      </c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V93" s="44"/>
      <c r="CW93" s="114" t="s">
        <v>166</v>
      </c>
      <c r="CX93" s="118">
        <v>1.92</v>
      </c>
      <c r="CY93" s="125">
        <v>-2.21</v>
      </c>
      <c r="FA93" s="33"/>
      <c r="FB93" s="33"/>
      <c r="FC93" s="33"/>
      <c r="FD93" s="33"/>
      <c r="FE93" s="33"/>
      <c r="FF93" s="33"/>
      <c r="FG93" s="33"/>
      <c r="FH93" s="33"/>
      <c r="FI93" s="33"/>
      <c r="FJ93" s="33"/>
      <c r="FK93" s="33"/>
      <c r="FL93" s="33"/>
      <c r="FM93" s="33"/>
      <c r="FN93" s="33"/>
      <c r="FO93" s="33"/>
      <c r="FP93" s="33"/>
      <c r="FQ93" s="33"/>
      <c r="FR93" s="33"/>
      <c r="FS93" s="33"/>
      <c r="FT93" s="33"/>
      <c r="FU93" s="33"/>
      <c r="FV93" s="33"/>
      <c r="FW93" s="33"/>
      <c r="FX93" s="33"/>
      <c r="FY93" s="33"/>
      <c r="FZ93" s="33"/>
      <c r="GA93" s="33"/>
    </row>
    <row r="94" ht="15.75" customHeight="1">
      <c r="A94" s="20" t="s">
        <v>319</v>
      </c>
      <c r="B94" s="20"/>
      <c r="C94" s="44"/>
      <c r="D94" s="44"/>
      <c r="E94" s="44"/>
      <c r="F94" s="44"/>
      <c r="G94" s="44"/>
      <c r="H94" s="44"/>
      <c r="I94" s="44"/>
      <c r="J94" s="44"/>
      <c r="K94" s="100"/>
      <c r="L94" s="100"/>
      <c r="M94" s="100"/>
      <c r="N94" s="100"/>
      <c r="O94" s="44"/>
      <c r="P94" s="24"/>
      <c r="Q94" s="24" t="str">
        <f t="shared" si="1"/>
        <v>fine-grained, banded, white marble</v>
      </c>
      <c r="R94" s="51" t="s">
        <v>180</v>
      </c>
      <c r="S94" s="51" t="s">
        <v>189</v>
      </c>
      <c r="T94" s="51" t="s">
        <v>182</v>
      </c>
      <c r="U94" s="51" t="s">
        <v>181</v>
      </c>
      <c r="V94" s="44"/>
      <c r="W94" s="51" t="s">
        <v>166</v>
      </c>
      <c r="X94" s="51">
        <v>1.2</v>
      </c>
      <c r="Y94" s="51" t="s">
        <v>209</v>
      </c>
      <c r="Z94" s="51" t="s">
        <v>207</v>
      </c>
      <c r="AB94" s="106" t="s">
        <v>166</v>
      </c>
      <c r="AC94" s="106">
        <v>2.6</v>
      </c>
      <c r="AD94" s="106" t="s">
        <v>196</v>
      </c>
      <c r="AE94" s="107" t="s">
        <v>228</v>
      </c>
      <c r="AF94" s="106" t="s">
        <v>186</v>
      </c>
      <c r="AM94" s="44"/>
      <c r="AN94" s="44"/>
      <c r="AO94" s="43">
        <f t="shared" si="7"/>
        <v>0</v>
      </c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V94" s="44"/>
      <c r="CW94" s="103"/>
      <c r="CX94" s="119"/>
      <c r="CY94" s="126"/>
      <c r="FA94" s="33"/>
      <c r="FB94" s="33"/>
      <c r="FC94" s="33"/>
      <c r="FD94" s="33"/>
      <c r="FE94" s="33"/>
      <c r="FF94" s="33"/>
      <c r="FG94" s="33"/>
      <c r="FH94" s="33"/>
      <c r="FI94" s="33"/>
      <c r="FJ94" s="33"/>
      <c r="FK94" s="33"/>
      <c r="FL94" s="33"/>
      <c r="FM94" s="33"/>
      <c r="FN94" s="33"/>
      <c r="FO94" s="33"/>
      <c r="FP94" s="33"/>
      <c r="FQ94" s="33"/>
      <c r="FR94" s="33"/>
      <c r="FS94" s="33"/>
      <c r="FT94" s="33"/>
      <c r="FU94" s="33"/>
      <c r="FV94" s="33"/>
      <c r="FW94" s="33"/>
      <c r="FX94" s="33"/>
      <c r="FY94" s="33"/>
      <c r="FZ94" s="33"/>
      <c r="GA94" s="33"/>
    </row>
    <row r="95" ht="15.75" customHeight="1">
      <c r="A95" s="20" t="s">
        <v>320</v>
      </c>
      <c r="B95" s="20"/>
      <c r="C95" s="44"/>
      <c r="D95" s="44"/>
      <c r="E95" s="44"/>
      <c r="F95" s="44"/>
      <c r="G95" s="44"/>
      <c r="H95" s="44"/>
      <c r="I95" s="44"/>
      <c r="J95" s="44"/>
      <c r="K95" s="100"/>
      <c r="L95" s="100"/>
      <c r="M95" s="100"/>
      <c r="N95" s="100"/>
      <c r="O95" s="44"/>
      <c r="P95" s="24"/>
      <c r="Q95" s="24" t="str">
        <f t="shared" si="1"/>
        <v>very fine-grained, spotted, white marble</v>
      </c>
      <c r="R95" s="51" t="s">
        <v>188</v>
      </c>
      <c r="S95" s="51" t="s">
        <v>189</v>
      </c>
      <c r="T95" s="51" t="s">
        <v>311</v>
      </c>
      <c r="U95" s="51" t="s">
        <v>312</v>
      </c>
      <c r="V95" s="44"/>
      <c r="W95" s="51" t="s">
        <v>166</v>
      </c>
      <c r="X95" s="51">
        <v>0.5</v>
      </c>
      <c r="Y95" s="51" t="s">
        <v>196</v>
      </c>
      <c r="Z95" s="51" t="s">
        <v>184</v>
      </c>
      <c r="AB95" s="106" t="s">
        <v>166</v>
      </c>
      <c r="AC95" s="106">
        <v>0.7</v>
      </c>
      <c r="AD95" s="106" t="s">
        <v>196</v>
      </c>
      <c r="AE95" s="107" t="s">
        <v>245</v>
      </c>
      <c r="AF95" s="106" t="s">
        <v>186</v>
      </c>
      <c r="AM95" s="44"/>
      <c r="AN95" s="44"/>
      <c r="AO95" s="43">
        <f t="shared" si="7"/>
        <v>0</v>
      </c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V95" s="44"/>
      <c r="CW95" s="120" t="s">
        <v>166</v>
      </c>
      <c r="CX95" s="121">
        <v>1.98</v>
      </c>
      <c r="CY95" s="121">
        <v>-1.57</v>
      </c>
      <c r="FA95" s="33"/>
      <c r="FB95" s="33"/>
      <c r="FC95" s="33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3"/>
      <c r="FP95" s="33"/>
      <c r="FQ95" s="33"/>
      <c r="FR95" s="33"/>
      <c r="FS95" s="33"/>
      <c r="FT95" s="33"/>
      <c r="FU95" s="33"/>
      <c r="FV95" s="33"/>
      <c r="FW95" s="33"/>
      <c r="FX95" s="33"/>
      <c r="FY95" s="33"/>
      <c r="FZ95" s="33"/>
      <c r="GA95" s="33"/>
    </row>
    <row r="96" ht="15.75" customHeight="1">
      <c r="A96" s="20" t="s">
        <v>321</v>
      </c>
      <c r="B96" s="20"/>
      <c r="C96" s="44"/>
      <c r="D96" s="44"/>
      <c r="E96" s="44"/>
      <c r="F96" s="44"/>
      <c r="G96" s="44"/>
      <c r="H96" s="44"/>
      <c r="I96" s="44"/>
      <c r="J96" s="44"/>
      <c r="K96" s="100"/>
      <c r="L96" s="100"/>
      <c r="M96" s="100"/>
      <c r="N96" s="100"/>
      <c r="O96" s="44"/>
      <c r="P96" s="24"/>
      <c r="Q96" s="24" t="str">
        <f t="shared" si="1"/>
        <v>very fine-grained, veined, white marble</v>
      </c>
      <c r="R96" s="51" t="s">
        <v>188</v>
      </c>
      <c r="S96" s="51" t="s">
        <v>189</v>
      </c>
      <c r="T96" s="51" t="s">
        <v>206</v>
      </c>
      <c r="U96" s="51" t="s">
        <v>233</v>
      </c>
      <c r="V96" s="44"/>
      <c r="W96" s="51" t="s">
        <v>166</v>
      </c>
      <c r="X96" s="51">
        <v>0.5</v>
      </c>
      <c r="Y96" s="51" t="s">
        <v>196</v>
      </c>
      <c r="Z96" s="51" t="s">
        <v>184</v>
      </c>
      <c r="AB96" s="106" t="s">
        <v>166</v>
      </c>
      <c r="AC96" s="106">
        <v>0.8</v>
      </c>
      <c r="AD96" s="106" t="s">
        <v>196</v>
      </c>
      <c r="AE96" s="107" t="s">
        <v>198</v>
      </c>
      <c r="AF96" s="106" t="s">
        <v>186</v>
      </c>
      <c r="AM96" s="44"/>
      <c r="AN96" s="44"/>
      <c r="AO96" s="43">
        <f t="shared" si="7"/>
        <v>0</v>
      </c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V96" s="44"/>
      <c r="CW96" s="114" t="s">
        <v>166</v>
      </c>
      <c r="CX96" s="122">
        <v>2.04</v>
      </c>
      <c r="CY96" s="127">
        <v>-2.16</v>
      </c>
      <c r="FA96" s="33"/>
      <c r="FB96" s="33"/>
      <c r="FC96" s="33"/>
      <c r="FD96" s="33"/>
      <c r="FE96" s="33"/>
      <c r="FF96" s="33"/>
      <c r="FG96" s="33"/>
      <c r="FH96" s="33"/>
      <c r="FI96" s="33"/>
      <c r="FJ96" s="33"/>
      <c r="FK96" s="33"/>
      <c r="FL96" s="33"/>
      <c r="FM96" s="33"/>
      <c r="FN96" s="33"/>
      <c r="FO96" s="33"/>
      <c r="FP96" s="33"/>
      <c r="FQ96" s="33"/>
      <c r="FR96" s="33"/>
      <c r="FS96" s="33"/>
      <c r="FT96" s="33"/>
      <c r="FU96" s="33"/>
      <c r="FV96" s="33"/>
      <c r="FW96" s="33"/>
      <c r="FX96" s="33"/>
      <c r="FY96" s="33"/>
      <c r="FZ96" s="33"/>
      <c r="GA96" s="33"/>
    </row>
    <row r="97" ht="15.75" customHeight="1">
      <c r="A97" s="20" t="s">
        <v>322</v>
      </c>
      <c r="B97" s="20"/>
      <c r="C97" s="44"/>
      <c r="D97" s="44"/>
      <c r="E97" s="44"/>
      <c r="F97" s="44"/>
      <c r="G97" s="44"/>
      <c r="H97" s="44"/>
      <c r="I97" s="44"/>
      <c r="J97" s="44"/>
      <c r="K97" s="100"/>
      <c r="L97" s="100"/>
      <c r="M97" s="100"/>
      <c r="N97" s="100"/>
      <c r="O97" s="44"/>
      <c r="P97" s="24"/>
      <c r="Q97" s="24" t="str">
        <f t="shared" si="1"/>
        <v>medium-grained, banded, white marble</v>
      </c>
      <c r="R97" s="51" t="s">
        <v>205</v>
      </c>
      <c r="S97" s="51" t="s">
        <v>189</v>
      </c>
      <c r="T97" s="51" t="s">
        <v>182</v>
      </c>
      <c r="U97" s="51" t="s">
        <v>181</v>
      </c>
      <c r="V97" s="44"/>
      <c r="W97" s="51" t="s">
        <v>166</v>
      </c>
      <c r="X97" s="51">
        <v>2.4</v>
      </c>
      <c r="Y97" s="51" t="s">
        <v>183</v>
      </c>
      <c r="Z97" s="51" t="s">
        <v>198</v>
      </c>
      <c r="AE97" s="110"/>
      <c r="AM97" s="44"/>
      <c r="AN97" s="44"/>
      <c r="AO97" s="43">
        <f t="shared" si="7"/>
        <v>0</v>
      </c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V97" s="44"/>
      <c r="CW97" s="123"/>
      <c r="CX97" s="128"/>
      <c r="CY97" s="128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</row>
    <row r="98" ht="15.75" customHeight="1">
      <c r="A98" s="20" t="s">
        <v>323</v>
      </c>
      <c r="B98" s="20"/>
      <c r="C98" s="44"/>
      <c r="D98" s="44"/>
      <c r="E98" s="44"/>
      <c r="F98" s="44"/>
      <c r="G98" s="44"/>
      <c r="H98" s="44"/>
      <c r="I98" s="44"/>
      <c r="J98" s="44"/>
      <c r="K98" s="100"/>
      <c r="L98" s="100"/>
      <c r="M98" s="100"/>
      <c r="N98" s="100"/>
      <c r="O98" s="44"/>
      <c r="P98" s="24"/>
      <c r="Q98" s="24" t="str">
        <f t="shared" si="1"/>
        <v>very fine-grained, veined, grey marble</v>
      </c>
      <c r="R98" s="51" t="s">
        <v>188</v>
      </c>
      <c r="S98" s="51" t="s">
        <v>181</v>
      </c>
      <c r="T98" s="51" t="s">
        <v>206</v>
      </c>
      <c r="U98" s="51" t="s">
        <v>189</v>
      </c>
      <c r="V98" s="44"/>
      <c r="W98" s="51" t="s">
        <v>166</v>
      </c>
      <c r="X98" s="51">
        <v>0.2</v>
      </c>
      <c r="Y98" s="51" t="s">
        <v>219</v>
      </c>
      <c r="Z98" s="51" t="s">
        <v>219</v>
      </c>
      <c r="AB98" s="106" t="s">
        <v>166</v>
      </c>
      <c r="AC98" s="106">
        <v>0.5</v>
      </c>
      <c r="AD98" s="106" t="s">
        <v>183</v>
      </c>
      <c r="AE98" s="107" t="s">
        <v>245</v>
      </c>
      <c r="AF98" s="106" t="s">
        <v>186</v>
      </c>
      <c r="AI98" s="106" t="s">
        <v>166</v>
      </c>
      <c r="AM98" s="44"/>
      <c r="AN98" s="44"/>
      <c r="AO98" s="43">
        <f t="shared" si="7"/>
        <v>0</v>
      </c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V98" s="44"/>
      <c r="CW98" s="120" t="s">
        <v>166</v>
      </c>
      <c r="CX98" s="121">
        <v>1.83</v>
      </c>
      <c r="CY98" s="121">
        <v>-2.13</v>
      </c>
      <c r="FA98" s="33"/>
      <c r="FB98" s="33"/>
      <c r="FC98" s="33"/>
      <c r="FD98" s="33"/>
      <c r="FE98" s="33"/>
      <c r="FF98" s="33"/>
      <c r="FG98" s="33"/>
      <c r="FH98" s="33"/>
      <c r="FI98" s="33"/>
      <c r="FJ98" s="33"/>
      <c r="FK98" s="33"/>
      <c r="FL98" s="33"/>
      <c r="FM98" s="33"/>
      <c r="FN98" s="33"/>
      <c r="FO98" s="33"/>
      <c r="FP98" s="33"/>
      <c r="FQ98" s="33"/>
      <c r="FR98" s="33"/>
      <c r="FS98" s="33"/>
      <c r="FT98" s="33"/>
      <c r="FU98" s="33"/>
      <c r="FV98" s="33"/>
      <c r="FW98" s="33"/>
      <c r="FX98" s="33"/>
      <c r="FY98" s="33"/>
      <c r="FZ98" s="33"/>
      <c r="GA98" s="33"/>
    </row>
    <row r="99" ht="15.75" customHeight="1">
      <c r="A99" s="20" t="s">
        <v>324</v>
      </c>
      <c r="B99" s="20"/>
      <c r="C99" s="22"/>
      <c r="D99" s="22"/>
      <c r="E99" s="22"/>
      <c r="F99" s="22"/>
      <c r="G99" s="22"/>
      <c r="H99" s="22"/>
      <c r="I99" s="22"/>
      <c r="J99" s="22"/>
      <c r="K99" s="23"/>
      <c r="L99" s="23"/>
      <c r="M99" s="23"/>
      <c r="N99" s="23"/>
      <c r="O99" s="22"/>
      <c r="P99" s="24"/>
      <c r="Q99" s="24" t="str">
        <f t="shared" si="1"/>
        <v>medium-grained, banded, white marble</v>
      </c>
      <c r="R99" s="20" t="s">
        <v>205</v>
      </c>
      <c r="S99" s="20" t="s">
        <v>189</v>
      </c>
      <c r="T99" s="20" t="s">
        <v>182</v>
      </c>
      <c r="U99" s="20" t="s">
        <v>181</v>
      </c>
      <c r="V99" s="22"/>
      <c r="W99" s="20" t="s">
        <v>166</v>
      </c>
      <c r="X99" s="20">
        <v>3.5</v>
      </c>
      <c r="Y99" s="20" t="s">
        <v>183</v>
      </c>
      <c r="Z99" s="20" t="s">
        <v>192</v>
      </c>
      <c r="AE99" s="110"/>
      <c r="AM99" s="22"/>
      <c r="AN99" s="22"/>
      <c r="AO99" s="43">
        <f t="shared" si="7"/>
        <v>0</v>
      </c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V99" s="25" t="s">
        <v>164</v>
      </c>
      <c r="CW99" s="103"/>
      <c r="CX99" s="104"/>
      <c r="CY99" s="104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33"/>
      <c r="FH99" s="33"/>
      <c r="FI99" s="33"/>
      <c r="FJ99" s="33"/>
      <c r="FK99" s="33"/>
      <c r="FL99" s="33"/>
      <c r="FM99" s="33"/>
      <c r="FN99" s="33"/>
      <c r="FO99" s="33"/>
      <c r="FP99" s="33"/>
      <c r="FQ99" s="33"/>
      <c r="FR99" s="33"/>
      <c r="FS99" s="33"/>
      <c r="FT99" s="33"/>
      <c r="FU99" s="33"/>
      <c r="FV99" s="33"/>
      <c r="FW99" s="33"/>
      <c r="FX99" s="33"/>
      <c r="FY99" s="33"/>
      <c r="FZ99" s="33"/>
      <c r="GA99" s="33"/>
    </row>
    <row r="100" ht="15.75" customHeight="1">
      <c r="A100" s="20" t="s">
        <v>325</v>
      </c>
      <c r="B100" s="20"/>
      <c r="C100" s="22"/>
      <c r="D100" s="22"/>
      <c r="E100" s="22"/>
      <c r="F100" s="22"/>
      <c r="G100" s="22"/>
      <c r="H100" s="22"/>
      <c r="I100" s="22"/>
      <c r="J100" s="22"/>
      <c r="K100" s="23"/>
      <c r="L100" s="23"/>
      <c r="M100" s="23"/>
      <c r="N100" s="23"/>
      <c r="O100" s="22"/>
      <c r="P100" s="24"/>
      <c r="Q100" s="24" t="str">
        <f t="shared" si="1"/>
        <v>medium-grained, homogeneous, white marble</v>
      </c>
      <c r="R100" s="20" t="s">
        <v>205</v>
      </c>
      <c r="S100" s="20" t="s">
        <v>189</v>
      </c>
      <c r="T100" s="20" t="s">
        <v>194</v>
      </c>
      <c r="U100" s="22"/>
      <c r="V100" s="22"/>
      <c r="W100" s="20" t="s">
        <v>166</v>
      </c>
      <c r="X100" s="20">
        <v>2.9</v>
      </c>
      <c r="Y100" s="20" t="s">
        <v>183</v>
      </c>
      <c r="Z100" s="20" t="s">
        <v>198</v>
      </c>
      <c r="AE100" s="110"/>
      <c r="AM100" s="22"/>
      <c r="AN100" s="22"/>
      <c r="AO100" s="43">
        <f t="shared" si="7"/>
        <v>0</v>
      </c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V100" s="25" t="s">
        <v>164</v>
      </c>
      <c r="CW100" s="129"/>
      <c r="CX100" s="104"/>
      <c r="CY100" s="104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  <c r="EW100" s="33"/>
      <c r="EX100" s="33"/>
      <c r="EY100" s="33"/>
      <c r="EZ100" s="33"/>
      <c r="FA100" s="33"/>
      <c r="FB100" s="33"/>
      <c r="FC100" s="33"/>
      <c r="FD100" s="33"/>
      <c r="FE100" s="33"/>
      <c r="FF100" s="33"/>
      <c r="FG100" s="33"/>
      <c r="FH100" s="33"/>
      <c r="FI100" s="33"/>
      <c r="FJ100" s="33"/>
      <c r="FK100" s="33"/>
      <c r="FL100" s="33"/>
      <c r="FM100" s="33"/>
      <c r="FN100" s="33"/>
      <c r="FO100" s="33"/>
      <c r="FP100" s="33"/>
      <c r="FQ100" s="33"/>
      <c r="FR100" s="33"/>
      <c r="FS100" s="33"/>
      <c r="FT100" s="33"/>
      <c r="FU100" s="33"/>
      <c r="FV100" s="33"/>
      <c r="FW100" s="33"/>
      <c r="FX100" s="33"/>
      <c r="FY100" s="33"/>
      <c r="FZ100" s="33"/>
      <c r="GA100" s="33"/>
    </row>
    <row r="101" ht="15.75" customHeight="1">
      <c r="A101" s="20" t="s">
        <v>326</v>
      </c>
      <c r="B101" s="20"/>
      <c r="C101" s="44"/>
      <c r="D101" s="44"/>
      <c r="E101" s="44"/>
      <c r="F101" s="44"/>
      <c r="G101" s="44"/>
      <c r="H101" s="44"/>
      <c r="I101" s="44"/>
      <c r="J101" s="44"/>
      <c r="K101" s="100"/>
      <c r="L101" s="100"/>
      <c r="M101" s="100"/>
      <c r="N101" s="100"/>
      <c r="O101" s="44"/>
      <c r="P101" s="24"/>
      <c r="Q101" s="24" t="str">
        <f t="shared" si="1"/>
        <v>medium-grained, banded, white marble</v>
      </c>
      <c r="R101" s="51" t="s">
        <v>205</v>
      </c>
      <c r="S101" s="51" t="s">
        <v>189</v>
      </c>
      <c r="T101" s="51" t="s">
        <v>182</v>
      </c>
      <c r="U101" s="51" t="s">
        <v>181</v>
      </c>
      <c r="V101" s="44"/>
      <c r="W101" s="51" t="s">
        <v>166</v>
      </c>
      <c r="X101" s="51">
        <v>2.5</v>
      </c>
      <c r="Y101" s="51" t="s">
        <v>219</v>
      </c>
      <c r="Z101" s="51" t="s">
        <v>219</v>
      </c>
      <c r="AE101" s="110"/>
      <c r="AM101" s="44"/>
      <c r="AN101" s="44"/>
      <c r="AO101" s="43">
        <f t="shared" si="7"/>
        <v>0</v>
      </c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  <c r="BO101" s="44"/>
      <c r="BP101" s="44"/>
      <c r="BQ101" s="44"/>
      <c r="BR101" s="44"/>
      <c r="BS101" s="44"/>
      <c r="BT101" s="44"/>
      <c r="BU101" s="44"/>
      <c r="BV101" s="44"/>
      <c r="BW101" s="44"/>
      <c r="BX101" s="44"/>
      <c r="BY101" s="44"/>
      <c r="BZ101" s="44"/>
      <c r="CA101" s="44"/>
      <c r="CB101" s="44"/>
      <c r="CC101" s="44"/>
      <c r="CD101" s="44"/>
      <c r="CV101" s="44"/>
      <c r="CW101" s="123"/>
      <c r="CX101" s="124"/>
      <c r="CY101" s="124"/>
      <c r="FA101" s="33"/>
      <c r="FB101" s="33"/>
      <c r="FC101" s="33"/>
      <c r="FD101" s="33"/>
      <c r="FE101" s="33"/>
      <c r="FF101" s="33"/>
      <c r="FG101" s="33"/>
      <c r="FH101" s="33"/>
      <c r="FI101" s="33"/>
      <c r="FJ101" s="33"/>
      <c r="FK101" s="33"/>
      <c r="FL101" s="33"/>
      <c r="FM101" s="33"/>
      <c r="FN101" s="33"/>
      <c r="FO101" s="33"/>
      <c r="FP101" s="33"/>
      <c r="FQ101" s="33"/>
      <c r="FR101" s="33"/>
      <c r="FS101" s="33"/>
      <c r="FT101" s="33"/>
      <c r="FU101" s="33"/>
      <c r="FV101" s="33"/>
      <c r="FW101" s="33"/>
      <c r="FX101" s="33"/>
      <c r="FY101" s="33"/>
      <c r="FZ101" s="33"/>
      <c r="GA101" s="33"/>
    </row>
    <row r="102" ht="15.75" customHeight="1">
      <c r="A102" s="20" t="s">
        <v>327</v>
      </c>
      <c r="B102" s="20"/>
      <c r="C102" s="22"/>
      <c r="D102" s="22"/>
      <c r="E102" s="22"/>
      <c r="F102" s="22"/>
      <c r="G102" s="22"/>
      <c r="H102" s="22"/>
      <c r="I102" s="22"/>
      <c r="J102" s="22"/>
      <c r="K102" s="48" t="s">
        <v>187</v>
      </c>
      <c r="L102" s="23"/>
      <c r="M102" s="23"/>
      <c r="N102" s="23"/>
      <c r="O102" s="22" t="s">
        <v>164</v>
      </c>
      <c r="P102" s="24"/>
      <c r="Q102" s="24" t="str">
        <f t="shared" si="1"/>
        <v>very fine-grained, homogeneous, white marble</v>
      </c>
      <c r="R102" s="20" t="s">
        <v>188</v>
      </c>
      <c r="S102" s="20" t="s">
        <v>189</v>
      </c>
      <c r="T102" s="20" t="s">
        <v>194</v>
      </c>
      <c r="U102" s="20" t="s">
        <v>195</v>
      </c>
      <c r="V102" s="20" t="s">
        <v>190</v>
      </c>
      <c r="W102" s="20" t="s">
        <v>166</v>
      </c>
      <c r="X102" s="20">
        <v>0.3</v>
      </c>
      <c r="Y102" s="20" t="s">
        <v>196</v>
      </c>
      <c r="Z102" s="20" t="s">
        <v>219</v>
      </c>
      <c r="AA102" s="33"/>
      <c r="AB102" s="50" t="s">
        <v>166</v>
      </c>
      <c r="AC102" s="50">
        <v>0.5</v>
      </c>
      <c r="AD102" s="50" t="s">
        <v>183</v>
      </c>
      <c r="AE102" s="36" t="s">
        <v>213</v>
      </c>
      <c r="AF102" s="33" t="s">
        <v>164</v>
      </c>
      <c r="AG102" s="33" t="s">
        <v>164</v>
      </c>
      <c r="AH102" s="50" t="s">
        <v>166</v>
      </c>
      <c r="AI102" s="33" t="s">
        <v>164</v>
      </c>
      <c r="AJ102" s="33" t="s">
        <v>164</v>
      </c>
      <c r="AK102" s="50" t="s">
        <v>166</v>
      </c>
      <c r="AL102" s="33" t="s">
        <v>164</v>
      </c>
      <c r="AM102" s="27"/>
      <c r="AN102" s="27"/>
      <c r="AO102" s="28">
        <f t="shared" si="7"/>
        <v>0</v>
      </c>
      <c r="AP102" s="27" t="s">
        <v>164</v>
      </c>
      <c r="AQ102" s="27" t="s">
        <v>164</v>
      </c>
      <c r="AR102" s="27" t="s">
        <v>164</v>
      </c>
      <c r="AS102" s="27" t="s">
        <v>164</v>
      </c>
      <c r="AT102" s="27" t="s">
        <v>164</v>
      </c>
      <c r="AU102" s="27" t="s">
        <v>164</v>
      </c>
      <c r="AV102" s="27" t="s">
        <v>164</v>
      </c>
      <c r="AW102" s="27" t="s">
        <v>164</v>
      </c>
      <c r="AX102" s="27" t="s">
        <v>164</v>
      </c>
      <c r="AY102" s="27" t="s">
        <v>164</v>
      </c>
      <c r="AZ102" s="27" t="s">
        <v>164</v>
      </c>
      <c r="BA102" s="27" t="s">
        <v>164</v>
      </c>
      <c r="BB102" s="27" t="s">
        <v>164</v>
      </c>
      <c r="BC102" s="27"/>
      <c r="BD102" s="27" t="s">
        <v>164</v>
      </c>
      <c r="BE102" s="27" t="s">
        <v>164</v>
      </c>
      <c r="BF102" s="27" t="s">
        <v>164</v>
      </c>
      <c r="BG102" s="27" t="s">
        <v>164</v>
      </c>
      <c r="BH102" s="27" t="s">
        <v>164</v>
      </c>
      <c r="BI102" s="22"/>
      <c r="BJ102" s="22" t="s">
        <v>164</v>
      </c>
      <c r="BK102" s="22"/>
      <c r="BL102" s="22" t="s">
        <v>164</v>
      </c>
      <c r="BM102" s="22"/>
      <c r="BN102" s="22" t="s">
        <v>164</v>
      </c>
      <c r="BO102" s="22"/>
      <c r="BP102" s="22"/>
      <c r="BQ102" s="22"/>
      <c r="BR102" s="22" t="s">
        <v>164</v>
      </c>
      <c r="BS102" s="22"/>
      <c r="BT102" s="22" t="s">
        <v>164</v>
      </c>
      <c r="BU102" s="22"/>
      <c r="BV102" s="22"/>
      <c r="BW102" s="22"/>
      <c r="BX102" s="22" t="s">
        <v>164</v>
      </c>
      <c r="BY102" s="22"/>
      <c r="BZ102" s="22" t="s">
        <v>164</v>
      </c>
      <c r="CA102" s="22"/>
      <c r="CB102" s="22" t="s">
        <v>164</v>
      </c>
      <c r="CC102" s="22"/>
      <c r="CD102" s="22" t="s">
        <v>164</v>
      </c>
      <c r="CE102" s="33" t="s">
        <v>164</v>
      </c>
      <c r="CF102" s="33" t="s">
        <v>164</v>
      </c>
      <c r="CG102" s="33" t="s">
        <v>164</v>
      </c>
      <c r="CH102" s="33" t="s">
        <v>164</v>
      </c>
      <c r="CI102" s="33" t="s">
        <v>164</v>
      </c>
      <c r="CJ102" s="33" t="s">
        <v>164</v>
      </c>
      <c r="CK102" s="33" t="s">
        <v>164</v>
      </c>
      <c r="CL102" s="33" t="s">
        <v>164</v>
      </c>
      <c r="CM102" s="33" t="s">
        <v>164</v>
      </c>
      <c r="CN102" s="33" t="s">
        <v>164</v>
      </c>
      <c r="CO102" s="33" t="s">
        <v>164</v>
      </c>
      <c r="CP102" s="33" t="s">
        <v>164</v>
      </c>
      <c r="CQ102" s="33" t="s">
        <v>164</v>
      </c>
      <c r="CR102" s="33" t="s">
        <v>164</v>
      </c>
      <c r="CS102" s="33" t="s">
        <v>164</v>
      </c>
      <c r="CT102" s="33" t="s">
        <v>164</v>
      </c>
      <c r="CU102" s="33" t="s">
        <v>164</v>
      </c>
      <c r="CV102" s="25" t="s">
        <v>164</v>
      </c>
      <c r="CW102" s="37" t="s">
        <v>166</v>
      </c>
      <c r="CX102" s="38">
        <v>2.39</v>
      </c>
      <c r="CY102" s="38">
        <v>-1.62</v>
      </c>
      <c r="CZ102" s="50" t="s">
        <v>166</v>
      </c>
      <c r="DA102" s="33" t="s">
        <v>164</v>
      </c>
      <c r="DB102" s="33" t="s">
        <v>164</v>
      </c>
      <c r="DC102" s="33" t="s">
        <v>164</v>
      </c>
      <c r="DD102" s="33" t="s">
        <v>164</v>
      </c>
      <c r="DE102" s="33" t="s">
        <v>164</v>
      </c>
      <c r="DF102" s="33" t="s">
        <v>164</v>
      </c>
      <c r="DG102" s="33" t="s">
        <v>164</v>
      </c>
      <c r="DH102" s="33" t="s">
        <v>164</v>
      </c>
      <c r="DI102" s="33" t="s">
        <v>164</v>
      </c>
      <c r="DJ102" s="130" t="s">
        <v>166</v>
      </c>
      <c r="DK102" s="52">
        <v>0.55</v>
      </c>
      <c r="DL102" s="52">
        <v>2.55</v>
      </c>
      <c r="DM102" s="52">
        <v>22.24</v>
      </c>
      <c r="DN102" s="52">
        <v>1960.05</v>
      </c>
      <c r="DO102" s="52">
        <v>0.102440217</v>
      </c>
      <c r="DP102" s="52">
        <v>3.29</v>
      </c>
      <c r="DQ102" s="52">
        <v>0.87</v>
      </c>
      <c r="DR102" s="52">
        <v>4.16</v>
      </c>
      <c r="DS102" s="52">
        <v>2.46</v>
      </c>
      <c r="DT102" s="52">
        <v>161.2</v>
      </c>
      <c r="DU102" s="52">
        <v>0.12</v>
      </c>
      <c r="DV102" s="52">
        <v>1.49</v>
      </c>
      <c r="DW102" s="52">
        <v>1.03</v>
      </c>
      <c r="DX102" s="52">
        <v>5.93</v>
      </c>
      <c r="DY102" s="52">
        <v>0.05</v>
      </c>
      <c r="DZ102" s="52">
        <v>0.18</v>
      </c>
      <c r="EA102" s="52">
        <v>0.27</v>
      </c>
      <c r="EB102" s="52">
        <v>120.73</v>
      </c>
      <c r="EC102" s="52">
        <v>5.26</v>
      </c>
      <c r="ED102" s="52">
        <v>1.7</v>
      </c>
      <c r="EE102" s="52">
        <v>0.18</v>
      </c>
      <c r="EF102" s="52">
        <v>0.03</v>
      </c>
      <c r="EG102" s="52">
        <v>0.39</v>
      </c>
      <c r="EH102" s="52">
        <v>0.1</v>
      </c>
      <c r="EI102" s="52">
        <v>0.02</v>
      </c>
      <c r="EJ102" s="52">
        <v>3.16</v>
      </c>
      <c r="EK102" s="52">
        <v>2.76</v>
      </c>
      <c r="EL102" s="52">
        <v>0.92</v>
      </c>
      <c r="EM102" s="52">
        <v>1.31</v>
      </c>
      <c r="EN102" s="52">
        <v>0.19</v>
      </c>
      <c r="EO102" s="52">
        <v>0.05</v>
      </c>
      <c r="EP102" s="52">
        <v>0.2</v>
      </c>
      <c r="EQ102" s="52">
        <v>0.34</v>
      </c>
      <c r="ER102" s="52">
        <v>0.29</v>
      </c>
      <c r="ES102" s="52">
        <v>0.22</v>
      </c>
      <c r="ET102" s="52">
        <v>0.027870589</v>
      </c>
      <c r="EU102" s="52">
        <v>11.75</v>
      </c>
      <c r="EV102" s="52">
        <v>1.97</v>
      </c>
      <c r="EW102" s="52">
        <v>0.79</v>
      </c>
      <c r="EX102" s="52">
        <v>0.03</v>
      </c>
      <c r="EY102" s="52">
        <v>0.11</v>
      </c>
      <c r="EZ102" s="55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33"/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</row>
    <row r="103" ht="15.75" customHeight="1">
      <c r="A103" s="20" t="s">
        <v>328</v>
      </c>
      <c r="B103" s="20"/>
      <c r="C103" s="44"/>
      <c r="D103" s="44"/>
      <c r="E103" s="44"/>
      <c r="F103" s="44"/>
      <c r="G103" s="44"/>
      <c r="H103" s="44"/>
      <c r="I103" s="44"/>
      <c r="J103" s="44"/>
      <c r="K103" s="100"/>
      <c r="L103" s="100"/>
      <c r="M103" s="100"/>
      <c r="N103" s="100"/>
      <c r="O103" s="44"/>
      <c r="P103" s="24"/>
      <c r="Q103" s="24" t="str">
        <f t="shared" si="1"/>
        <v>very fine-grained, banded, white marble</v>
      </c>
      <c r="R103" s="51" t="s">
        <v>188</v>
      </c>
      <c r="S103" s="51" t="s">
        <v>189</v>
      </c>
      <c r="T103" s="51" t="s">
        <v>182</v>
      </c>
      <c r="U103" s="51" t="s">
        <v>181</v>
      </c>
      <c r="V103" s="44"/>
      <c r="W103" s="51" t="s">
        <v>166</v>
      </c>
      <c r="X103" s="51">
        <v>0.3</v>
      </c>
      <c r="Y103" s="51" t="s">
        <v>196</v>
      </c>
      <c r="Z103" s="51" t="s">
        <v>198</v>
      </c>
      <c r="AB103" s="106" t="s">
        <v>166</v>
      </c>
      <c r="AC103" s="106">
        <v>0.6</v>
      </c>
      <c r="AD103" s="106" t="s">
        <v>191</v>
      </c>
      <c r="AE103" s="107" t="s">
        <v>213</v>
      </c>
      <c r="AM103" s="44"/>
      <c r="AN103" s="44"/>
      <c r="AO103" s="43">
        <f t="shared" si="7"/>
        <v>0</v>
      </c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44"/>
      <c r="BP103" s="44"/>
      <c r="BQ103" s="44"/>
      <c r="BR103" s="44"/>
      <c r="BS103" s="44"/>
      <c r="BT103" s="44"/>
      <c r="BU103" s="44"/>
      <c r="BV103" s="44"/>
      <c r="BW103" s="44"/>
      <c r="BX103" s="44"/>
      <c r="BY103" s="44"/>
      <c r="BZ103" s="44"/>
      <c r="CA103" s="44"/>
      <c r="CB103" s="44"/>
      <c r="CC103" s="44"/>
      <c r="CD103" s="44"/>
      <c r="CV103" s="44"/>
      <c r="CW103" s="103"/>
      <c r="CX103" s="47"/>
      <c r="CY103" s="47"/>
      <c r="FA103" s="33"/>
      <c r="FB103" s="33"/>
      <c r="FC103" s="33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3"/>
      <c r="FP103" s="33"/>
      <c r="FQ103" s="33"/>
      <c r="FR103" s="33"/>
      <c r="FS103" s="33"/>
      <c r="FT103" s="33"/>
      <c r="FU103" s="33"/>
      <c r="FV103" s="33"/>
      <c r="FW103" s="33"/>
      <c r="FX103" s="33"/>
      <c r="FY103" s="33"/>
      <c r="FZ103" s="33"/>
      <c r="GA103" s="33"/>
    </row>
    <row r="104" ht="15.75" customHeight="1">
      <c r="A104" s="20" t="s">
        <v>329</v>
      </c>
      <c r="B104" s="20" t="s">
        <v>186</v>
      </c>
      <c r="C104" s="22"/>
      <c r="D104" s="22"/>
      <c r="E104" s="22"/>
      <c r="F104" s="22"/>
      <c r="G104" s="22"/>
      <c r="H104" s="22"/>
      <c r="I104" s="22"/>
      <c r="J104" s="22"/>
      <c r="K104" s="48" t="s">
        <v>330</v>
      </c>
      <c r="L104" s="23"/>
      <c r="M104" s="23"/>
      <c r="N104" s="23"/>
      <c r="O104" s="22" t="s">
        <v>164</v>
      </c>
      <c r="P104" s="76" t="s">
        <v>331</v>
      </c>
      <c r="Q104" s="24" t="str">
        <f t="shared" si="1"/>
        <v>medium-grained, homogeneous, white marble</v>
      </c>
      <c r="R104" s="51" t="s">
        <v>205</v>
      </c>
      <c r="S104" s="51" t="s">
        <v>189</v>
      </c>
      <c r="T104" s="51" t="s">
        <v>194</v>
      </c>
      <c r="U104" s="51" t="s">
        <v>195</v>
      </c>
      <c r="V104" s="51" t="s">
        <v>190</v>
      </c>
      <c r="W104" s="51" t="s">
        <v>166</v>
      </c>
      <c r="X104" s="51">
        <v>1.8</v>
      </c>
      <c r="Y104" s="51" t="s">
        <v>209</v>
      </c>
      <c r="Z104" s="51" t="s">
        <v>213</v>
      </c>
      <c r="AB104" s="51" t="s">
        <v>166</v>
      </c>
      <c r="AC104" s="106">
        <v>2.1</v>
      </c>
      <c r="AD104" s="106" t="s">
        <v>209</v>
      </c>
      <c r="AE104" s="107" t="s">
        <v>213</v>
      </c>
      <c r="AH104" s="33" t="s">
        <v>164</v>
      </c>
      <c r="AI104" s="33" t="s">
        <v>164</v>
      </c>
      <c r="AJ104" s="33" t="s">
        <v>164</v>
      </c>
      <c r="AK104" s="33" t="s">
        <v>164</v>
      </c>
      <c r="AL104" s="33" t="s">
        <v>164</v>
      </c>
      <c r="AM104" s="22"/>
      <c r="AN104" s="22"/>
      <c r="AO104" s="43">
        <f t="shared" si="7"/>
        <v>0</v>
      </c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 t="s">
        <v>164</v>
      </c>
      <c r="BF104" s="22" t="s">
        <v>164</v>
      </c>
      <c r="BG104" s="22" t="s">
        <v>164</v>
      </c>
      <c r="BH104" s="22" t="s">
        <v>164</v>
      </c>
      <c r="BI104" s="22"/>
      <c r="BJ104" s="22" t="s">
        <v>164</v>
      </c>
      <c r="BK104" s="22"/>
      <c r="BL104" s="22" t="s">
        <v>164</v>
      </c>
      <c r="BM104" s="22"/>
      <c r="BN104" s="22" t="s">
        <v>164</v>
      </c>
      <c r="BO104" s="22"/>
      <c r="BP104" s="22"/>
      <c r="BQ104" s="22"/>
      <c r="BR104" s="22" t="s">
        <v>164</v>
      </c>
      <c r="BS104" s="22"/>
      <c r="BT104" s="22" t="s">
        <v>164</v>
      </c>
      <c r="BU104" s="22"/>
      <c r="BV104" s="22"/>
      <c r="BW104" s="22"/>
      <c r="BX104" s="22" t="s">
        <v>164</v>
      </c>
      <c r="BY104" s="22"/>
      <c r="BZ104" s="22" t="s">
        <v>164</v>
      </c>
      <c r="CA104" s="22"/>
      <c r="CB104" s="22" t="s">
        <v>164</v>
      </c>
      <c r="CC104" s="22"/>
      <c r="CD104" s="22" t="s">
        <v>164</v>
      </c>
      <c r="CE104" s="33" t="s">
        <v>164</v>
      </c>
      <c r="CF104" s="33" t="s">
        <v>164</v>
      </c>
      <c r="CG104" s="33" t="s">
        <v>164</v>
      </c>
      <c r="CH104" s="33" t="s">
        <v>164</v>
      </c>
      <c r="CI104" s="33" t="s">
        <v>164</v>
      </c>
      <c r="CJ104" s="33" t="s">
        <v>164</v>
      </c>
      <c r="CK104" s="33" t="s">
        <v>164</v>
      </c>
      <c r="CL104" s="33" t="s">
        <v>164</v>
      </c>
      <c r="CM104" s="33" t="s">
        <v>164</v>
      </c>
      <c r="CN104" s="33" t="s">
        <v>164</v>
      </c>
      <c r="CO104" s="33" t="s">
        <v>164</v>
      </c>
      <c r="CP104" s="33" t="s">
        <v>164</v>
      </c>
      <c r="CQ104" s="33" t="s">
        <v>164</v>
      </c>
      <c r="CR104" s="33" t="s">
        <v>164</v>
      </c>
      <c r="CS104" s="33" t="s">
        <v>164</v>
      </c>
      <c r="CT104" s="33" t="s">
        <v>164</v>
      </c>
      <c r="CU104" s="33" t="s">
        <v>164</v>
      </c>
      <c r="CV104" s="25" t="s">
        <v>164</v>
      </c>
      <c r="CW104" s="37" t="s">
        <v>166</v>
      </c>
      <c r="CX104" s="38">
        <v>3.66</v>
      </c>
      <c r="CY104" s="38">
        <v>-3.1</v>
      </c>
      <c r="CZ104" s="50" t="s">
        <v>166</v>
      </c>
      <c r="DA104" s="33" t="s">
        <v>164</v>
      </c>
      <c r="DB104" s="33" t="s">
        <v>164</v>
      </c>
      <c r="DC104" s="33" t="s">
        <v>164</v>
      </c>
      <c r="DD104" s="33" t="s">
        <v>164</v>
      </c>
      <c r="DE104" s="33" t="s">
        <v>164</v>
      </c>
      <c r="DF104" s="33" t="s">
        <v>164</v>
      </c>
      <c r="DG104" s="33" t="s">
        <v>164</v>
      </c>
      <c r="DH104" s="33" t="s">
        <v>164</v>
      </c>
      <c r="DI104" s="33" t="s">
        <v>164</v>
      </c>
      <c r="DJ104" s="50" t="s">
        <v>166</v>
      </c>
      <c r="DK104" s="52">
        <v>2.31</v>
      </c>
      <c r="DL104" s="52">
        <v>8.9</v>
      </c>
      <c r="DM104" s="52">
        <v>96.17</v>
      </c>
      <c r="DN104" s="131" t="e">
        <v>#VALUE!</v>
      </c>
      <c r="DO104" s="52">
        <v>0.123693276</v>
      </c>
      <c r="DP104" s="52">
        <v>10.15</v>
      </c>
      <c r="DQ104" s="52">
        <v>1.54</v>
      </c>
      <c r="DR104" s="52">
        <v>5.91</v>
      </c>
      <c r="DS104" s="52">
        <v>3.76</v>
      </c>
      <c r="DT104" s="52">
        <v>38.03</v>
      </c>
      <c r="DU104" s="52">
        <v>422.52</v>
      </c>
      <c r="DV104" s="52">
        <v>0.32</v>
      </c>
      <c r="DW104" s="52">
        <v>2.83</v>
      </c>
      <c r="DX104" s="52">
        <v>2.11</v>
      </c>
      <c r="DY104" s="52">
        <v>49.98</v>
      </c>
      <c r="DZ104" s="52">
        <v>0.18</v>
      </c>
      <c r="EA104" s="52">
        <v>0.74</v>
      </c>
      <c r="EB104" s="52">
        <v>0.53</v>
      </c>
      <c r="EC104" s="52">
        <v>38.75</v>
      </c>
      <c r="ED104" s="52">
        <v>1.77</v>
      </c>
      <c r="EE104" s="52">
        <v>0.23</v>
      </c>
      <c r="EF104" s="52">
        <v>0.06</v>
      </c>
      <c r="EG104" s="52">
        <v>0.01</v>
      </c>
      <c r="EH104" s="52">
        <v>0.2</v>
      </c>
      <c r="EI104" s="52">
        <v>0.19</v>
      </c>
      <c r="EJ104" s="52">
        <v>0.07</v>
      </c>
      <c r="EK104" s="52">
        <v>6.24</v>
      </c>
      <c r="EL104" s="52">
        <v>1.05</v>
      </c>
      <c r="EM104" s="52">
        <v>1.27</v>
      </c>
      <c r="EN104" s="52">
        <v>0.71</v>
      </c>
      <c r="EO104" s="52">
        <v>0.13</v>
      </c>
      <c r="EP104" s="52">
        <v>0.03</v>
      </c>
      <c r="EQ104" s="52">
        <v>0.14</v>
      </c>
      <c r="ER104" s="52">
        <v>0.18</v>
      </c>
      <c r="ES104" s="52">
        <v>0.13</v>
      </c>
      <c r="ET104" s="52">
        <v>0.04251872</v>
      </c>
      <c r="EU104" s="52">
        <v>0.01</v>
      </c>
      <c r="EV104" s="52">
        <v>29.14</v>
      </c>
      <c r="EW104" s="52">
        <v>27.5</v>
      </c>
      <c r="EX104" s="52">
        <v>1.05</v>
      </c>
      <c r="EY104" s="52">
        <v>1.03</v>
      </c>
      <c r="EZ104" s="55"/>
      <c r="FA104" s="40"/>
      <c r="FB104" s="40"/>
      <c r="FC104" s="40"/>
      <c r="FD104" s="40"/>
      <c r="FE104" s="40"/>
      <c r="FF104" s="40"/>
      <c r="FG104" s="40"/>
      <c r="FH104" s="40"/>
      <c r="FI104" s="40"/>
      <c r="FJ104" s="40"/>
      <c r="FK104" s="40"/>
      <c r="FL104" s="40"/>
      <c r="FM104" s="40"/>
      <c r="FN104" s="40"/>
      <c r="FO104" s="40"/>
      <c r="FP104" s="40"/>
      <c r="FQ104" s="40"/>
      <c r="FR104" s="40"/>
      <c r="FS104" s="40"/>
      <c r="FT104" s="40"/>
      <c r="FU104" s="40"/>
      <c r="FV104" s="40"/>
      <c r="FW104" s="40"/>
      <c r="FX104" s="40"/>
      <c r="FY104" s="40"/>
      <c r="FZ104" s="40"/>
      <c r="GA104" s="40"/>
    </row>
    <row r="105" ht="15.75" customHeight="1">
      <c r="A105" s="20" t="s">
        <v>332</v>
      </c>
      <c r="B105" s="20"/>
      <c r="C105" s="44"/>
      <c r="D105" s="44"/>
      <c r="E105" s="44"/>
      <c r="F105" s="44"/>
      <c r="G105" s="44"/>
      <c r="H105" s="44"/>
      <c r="I105" s="44"/>
      <c r="J105" s="44"/>
      <c r="K105" s="100"/>
      <c r="L105" s="100"/>
      <c r="M105" s="100"/>
      <c r="N105" s="100"/>
      <c r="O105" s="44"/>
      <c r="P105" s="24"/>
      <c r="Q105" s="24" t="str">
        <f t="shared" si="1"/>
        <v>very fine-grained, homogeneous, white marble</v>
      </c>
      <c r="R105" s="51" t="s">
        <v>188</v>
      </c>
      <c r="S105" s="51" t="s">
        <v>189</v>
      </c>
      <c r="T105" s="51" t="s">
        <v>194</v>
      </c>
      <c r="U105" s="51" t="s">
        <v>195</v>
      </c>
      <c r="V105" s="44"/>
      <c r="W105" s="51" t="s">
        <v>166</v>
      </c>
      <c r="X105" s="51">
        <v>0.5</v>
      </c>
      <c r="Y105" s="51" t="s">
        <v>196</v>
      </c>
      <c r="Z105" s="51" t="s">
        <v>245</v>
      </c>
      <c r="AE105" s="110"/>
      <c r="AM105" s="44"/>
      <c r="AN105" s="44"/>
      <c r="AO105" s="43">
        <f t="shared" si="7"/>
        <v>0</v>
      </c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  <c r="BP105" s="44"/>
      <c r="BQ105" s="44"/>
      <c r="BR105" s="44"/>
      <c r="BS105" s="44"/>
      <c r="BT105" s="44"/>
      <c r="BU105" s="44"/>
      <c r="BV105" s="44"/>
      <c r="BW105" s="44"/>
      <c r="BX105" s="44"/>
      <c r="BY105" s="44"/>
      <c r="BZ105" s="44"/>
      <c r="CA105" s="44"/>
      <c r="CB105" s="44"/>
      <c r="CC105" s="44"/>
      <c r="CD105" s="44"/>
      <c r="CV105" s="44"/>
      <c r="CW105" s="103"/>
      <c r="CX105" s="47"/>
      <c r="CY105" s="47"/>
      <c r="FA105" s="33"/>
      <c r="FB105" s="33"/>
      <c r="FC105" s="33"/>
      <c r="FD105" s="33"/>
      <c r="FE105" s="33"/>
      <c r="FF105" s="33"/>
      <c r="FG105" s="33"/>
      <c r="FH105" s="33"/>
      <c r="FI105" s="33"/>
      <c r="FJ105" s="33"/>
      <c r="FK105" s="33"/>
      <c r="FL105" s="33"/>
      <c r="FM105" s="33"/>
      <c r="FN105" s="33"/>
      <c r="FO105" s="33"/>
      <c r="FP105" s="33"/>
      <c r="FQ105" s="33"/>
      <c r="FR105" s="33"/>
      <c r="FS105" s="33"/>
      <c r="FT105" s="33"/>
      <c r="FU105" s="33"/>
      <c r="FV105" s="33"/>
      <c r="FW105" s="33"/>
      <c r="FX105" s="33"/>
      <c r="FY105" s="33"/>
      <c r="FZ105" s="33"/>
      <c r="GA105" s="33"/>
    </row>
    <row r="106" ht="15.75" customHeight="1">
      <c r="A106" s="20" t="s">
        <v>333</v>
      </c>
      <c r="B106" s="20"/>
      <c r="C106" s="44"/>
      <c r="D106" s="44"/>
      <c r="E106" s="44"/>
      <c r="F106" s="44"/>
      <c r="G106" s="44"/>
      <c r="H106" s="44"/>
      <c r="I106" s="44"/>
      <c r="J106" s="44"/>
      <c r="K106" s="100"/>
      <c r="L106" s="100"/>
      <c r="M106" s="100"/>
      <c r="N106" s="100"/>
      <c r="O106" s="44"/>
      <c r="P106" s="24"/>
      <c r="Q106" s="24" t="str">
        <f t="shared" si="1"/>
        <v>very fine-grained, spotted, grey marble</v>
      </c>
      <c r="R106" s="51" t="s">
        <v>188</v>
      </c>
      <c r="S106" s="51" t="s">
        <v>181</v>
      </c>
      <c r="T106" s="51" t="s">
        <v>311</v>
      </c>
      <c r="U106" s="51" t="s">
        <v>189</v>
      </c>
      <c r="V106" s="44"/>
      <c r="W106" s="51" t="s">
        <v>166</v>
      </c>
      <c r="X106" s="51">
        <v>0.9</v>
      </c>
      <c r="Y106" s="51" t="s">
        <v>219</v>
      </c>
      <c r="Z106" s="51" t="s">
        <v>219</v>
      </c>
      <c r="AB106" s="106" t="s">
        <v>166</v>
      </c>
      <c r="AC106" s="106">
        <v>1.2</v>
      </c>
      <c r="AD106" s="106" t="s">
        <v>196</v>
      </c>
      <c r="AE106" s="107" t="s">
        <v>213</v>
      </c>
      <c r="AM106" s="44"/>
      <c r="AN106" s="44"/>
      <c r="AO106" s="43">
        <f t="shared" si="7"/>
        <v>0</v>
      </c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44"/>
      <c r="BR106" s="44"/>
      <c r="BS106" s="44"/>
      <c r="BT106" s="44"/>
      <c r="BU106" s="44"/>
      <c r="BV106" s="44"/>
      <c r="BW106" s="44"/>
      <c r="BX106" s="44"/>
      <c r="BY106" s="44"/>
      <c r="BZ106" s="44"/>
      <c r="CA106" s="44"/>
      <c r="CB106" s="44"/>
      <c r="CC106" s="44"/>
      <c r="CD106" s="44"/>
      <c r="CW106" s="37" t="s">
        <v>166</v>
      </c>
      <c r="CX106" s="38">
        <v>1.91</v>
      </c>
      <c r="CY106" s="38">
        <v>-3.17</v>
      </c>
      <c r="FA106" s="33"/>
      <c r="FB106" s="33"/>
      <c r="FC106" s="33"/>
      <c r="FD106" s="33"/>
      <c r="FE106" s="33"/>
      <c r="FF106" s="33"/>
      <c r="FG106" s="33"/>
      <c r="FH106" s="33"/>
      <c r="FI106" s="33"/>
      <c r="FJ106" s="33"/>
      <c r="FK106" s="33"/>
      <c r="FL106" s="33"/>
      <c r="FM106" s="33"/>
      <c r="FN106" s="33"/>
      <c r="FO106" s="33"/>
      <c r="FP106" s="33"/>
      <c r="FQ106" s="33"/>
      <c r="FR106" s="33"/>
      <c r="FS106" s="33"/>
      <c r="FT106" s="33"/>
      <c r="FU106" s="33"/>
      <c r="FV106" s="33"/>
      <c r="FW106" s="33"/>
      <c r="FX106" s="33"/>
      <c r="FY106" s="33"/>
      <c r="FZ106" s="33"/>
      <c r="GA106" s="33"/>
    </row>
    <row r="107" ht="15.75" customHeight="1">
      <c r="A107" s="20" t="s">
        <v>334</v>
      </c>
      <c r="B107" s="20"/>
      <c r="C107" s="22"/>
      <c r="D107" s="22"/>
      <c r="E107" s="22"/>
      <c r="F107" s="22"/>
      <c r="G107" s="22"/>
      <c r="H107" s="22"/>
      <c r="I107" s="22"/>
      <c r="J107" s="22"/>
      <c r="K107" s="23"/>
      <c r="L107" s="23"/>
      <c r="M107" s="23"/>
      <c r="N107" s="23"/>
      <c r="O107" s="22"/>
      <c r="P107" s="24"/>
      <c r="Q107" s="24" t="str">
        <f t="shared" si="1"/>
        <v>very fine-grained, homogeneous, white marble</v>
      </c>
      <c r="R107" s="22" t="s">
        <v>188</v>
      </c>
      <c r="S107" s="22" t="s">
        <v>189</v>
      </c>
      <c r="T107" s="20" t="s">
        <v>194</v>
      </c>
      <c r="U107" s="20" t="s">
        <v>195</v>
      </c>
      <c r="V107" s="22"/>
      <c r="W107" s="20" t="s">
        <v>166</v>
      </c>
      <c r="X107" s="22">
        <v>0.3</v>
      </c>
      <c r="Y107" s="22" t="s">
        <v>196</v>
      </c>
      <c r="Z107" s="22" t="s">
        <v>184</v>
      </c>
      <c r="AB107" s="106" t="s">
        <v>166</v>
      </c>
      <c r="AC107" s="106">
        <v>0.5</v>
      </c>
      <c r="AD107" s="106" t="s">
        <v>196</v>
      </c>
      <c r="AE107" s="107" t="s">
        <v>245</v>
      </c>
      <c r="AF107" s="106" t="s">
        <v>186</v>
      </c>
      <c r="AM107" s="22"/>
      <c r="AN107" s="22"/>
      <c r="AO107" s="43">
        <f t="shared" si="7"/>
        <v>0</v>
      </c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V107" s="33" t="s">
        <v>164</v>
      </c>
      <c r="CW107" s="132" t="s">
        <v>166</v>
      </c>
      <c r="CX107" s="118">
        <v>1.92</v>
      </c>
      <c r="CY107" s="118">
        <v>-1.81</v>
      </c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</row>
    <row r="108" ht="15.75" customHeight="1">
      <c r="A108" s="20" t="s">
        <v>335</v>
      </c>
      <c r="B108" s="20"/>
      <c r="C108" s="22"/>
      <c r="D108" s="22"/>
      <c r="E108" s="22"/>
      <c r="F108" s="22"/>
      <c r="G108" s="22"/>
      <c r="H108" s="22"/>
      <c r="I108" s="22"/>
      <c r="J108" s="22"/>
      <c r="K108" s="23"/>
      <c r="L108" s="23"/>
      <c r="M108" s="23"/>
      <c r="N108" s="23"/>
      <c r="O108" s="22"/>
      <c r="P108" s="24"/>
      <c r="Q108" s="24" t="str">
        <f t="shared" si="1"/>
        <v>very fine-grained, banded and veined, white marble</v>
      </c>
      <c r="R108" s="22" t="s">
        <v>188</v>
      </c>
      <c r="S108" s="22" t="s">
        <v>189</v>
      </c>
      <c r="T108" s="22" t="s">
        <v>243</v>
      </c>
      <c r="U108" s="22" t="s">
        <v>336</v>
      </c>
      <c r="V108" s="22"/>
      <c r="W108" s="20" t="s">
        <v>166</v>
      </c>
      <c r="X108" s="22">
        <v>0.3</v>
      </c>
      <c r="Y108" s="22" t="s">
        <v>209</v>
      </c>
      <c r="Z108" s="22" t="s">
        <v>184</v>
      </c>
      <c r="AB108" s="106" t="s">
        <v>166</v>
      </c>
      <c r="AC108" s="106">
        <v>0.5</v>
      </c>
      <c r="AD108" s="106" t="s">
        <v>209</v>
      </c>
      <c r="AE108" s="107" t="s">
        <v>245</v>
      </c>
      <c r="AF108" s="106" t="s">
        <v>186</v>
      </c>
      <c r="AM108" s="22"/>
      <c r="AN108" s="22"/>
      <c r="AO108" s="43">
        <f t="shared" si="7"/>
        <v>0</v>
      </c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V108" s="33" t="s">
        <v>164</v>
      </c>
      <c r="CW108" s="132" t="s">
        <v>166</v>
      </c>
      <c r="CX108" s="118">
        <v>2.03</v>
      </c>
      <c r="CY108" s="133">
        <v>-1.15</v>
      </c>
      <c r="DJ108" s="134"/>
      <c r="DK108" s="63"/>
      <c r="DL108" s="63"/>
      <c r="DM108" s="63"/>
      <c r="DN108" s="63"/>
      <c r="DO108" s="63"/>
      <c r="DP108" s="63"/>
      <c r="DQ108" s="63"/>
      <c r="DR108" s="63"/>
      <c r="DS108" s="63"/>
      <c r="DT108" s="63"/>
      <c r="DU108" s="63"/>
      <c r="DV108" s="63"/>
      <c r="DW108" s="63"/>
      <c r="DX108" s="63"/>
      <c r="DY108" s="63"/>
      <c r="DZ108" s="63"/>
      <c r="EA108" s="63"/>
      <c r="EB108" s="63"/>
      <c r="EC108" s="63"/>
      <c r="ED108" s="63"/>
      <c r="EE108" s="63"/>
      <c r="EF108" s="63"/>
      <c r="EG108" s="63"/>
      <c r="EH108" s="63"/>
      <c r="EI108" s="63"/>
      <c r="EJ108" s="63"/>
      <c r="EK108" s="63"/>
      <c r="EL108" s="63"/>
      <c r="EM108" s="63"/>
      <c r="EN108" s="63"/>
      <c r="EO108" s="63"/>
      <c r="EP108" s="63"/>
      <c r="EQ108" s="63"/>
      <c r="ER108" s="63"/>
      <c r="ES108" s="63"/>
      <c r="ET108" s="63"/>
      <c r="EU108" s="63"/>
      <c r="EV108" s="63"/>
      <c r="EW108" s="63"/>
      <c r="EX108" s="63"/>
      <c r="EY108" s="63"/>
      <c r="EZ108" s="63"/>
      <c r="FA108" s="33"/>
      <c r="FB108" s="33"/>
      <c r="FC108" s="33"/>
      <c r="FD108" s="33"/>
      <c r="FE108" s="33"/>
      <c r="FF108" s="33"/>
      <c r="FG108" s="33"/>
      <c r="FH108" s="33"/>
      <c r="FI108" s="33"/>
      <c r="FJ108" s="33"/>
      <c r="FK108" s="33"/>
      <c r="FL108" s="33"/>
      <c r="FM108" s="33"/>
      <c r="FN108" s="33"/>
      <c r="FO108" s="33"/>
      <c r="FP108" s="33"/>
      <c r="FQ108" s="33"/>
      <c r="FR108" s="33"/>
      <c r="FS108" s="33"/>
      <c r="FT108" s="33"/>
      <c r="FU108" s="33"/>
      <c r="FV108" s="33"/>
      <c r="FW108" s="33"/>
      <c r="FX108" s="33"/>
      <c r="FY108" s="33"/>
      <c r="FZ108" s="33"/>
      <c r="GA108" s="33"/>
    </row>
    <row r="109" ht="15.75" customHeight="1">
      <c r="A109" s="20" t="s">
        <v>337</v>
      </c>
      <c r="B109" s="20"/>
      <c r="C109" s="44"/>
      <c r="D109" s="44"/>
      <c r="E109" s="44"/>
      <c r="F109" s="44"/>
      <c r="G109" s="44"/>
      <c r="H109" s="44"/>
      <c r="I109" s="44"/>
      <c r="J109" s="44"/>
      <c r="K109" s="100"/>
      <c r="L109" s="100"/>
      <c r="M109" s="100"/>
      <c r="N109" s="100"/>
      <c r="O109" s="44"/>
      <c r="P109" s="24"/>
      <c r="Q109" s="24" t="str">
        <f t="shared" si="1"/>
        <v>medium-grained, banded, white marble</v>
      </c>
      <c r="R109" s="51" t="s">
        <v>205</v>
      </c>
      <c r="S109" s="51" t="s">
        <v>189</v>
      </c>
      <c r="T109" s="51" t="s">
        <v>182</v>
      </c>
      <c r="U109" s="51" t="s">
        <v>181</v>
      </c>
      <c r="V109" s="44"/>
      <c r="W109" s="51" t="s">
        <v>166</v>
      </c>
      <c r="X109" s="51">
        <v>2.2</v>
      </c>
      <c r="Y109" s="51" t="s">
        <v>183</v>
      </c>
      <c r="Z109" s="51" t="s">
        <v>213</v>
      </c>
      <c r="AE109" s="110"/>
      <c r="AM109" s="44"/>
      <c r="AN109" s="44"/>
      <c r="AO109" s="43">
        <f t="shared" si="7"/>
        <v>0</v>
      </c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44"/>
      <c r="BP109" s="44"/>
      <c r="BQ109" s="44"/>
      <c r="BR109" s="44"/>
      <c r="BS109" s="44"/>
      <c r="BT109" s="44"/>
      <c r="BU109" s="44"/>
      <c r="BV109" s="44"/>
      <c r="BW109" s="44"/>
      <c r="BX109" s="44"/>
      <c r="BY109" s="44"/>
      <c r="BZ109" s="44"/>
      <c r="CA109" s="44"/>
      <c r="CB109" s="44"/>
      <c r="CC109" s="44"/>
      <c r="CD109" s="44"/>
      <c r="CW109" s="116"/>
      <c r="CX109" s="119"/>
      <c r="CY109" s="119"/>
      <c r="FA109" s="33"/>
      <c r="FB109" s="33"/>
      <c r="FC109" s="33"/>
      <c r="FD109" s="33"/>
      <c r="FE109" s="33"/>
      <c r="FF109" s="33"/>
      <c r="FG109" s="33"/>
      <c r="FH109" s="33"/>
      <c r="FI109" s="33"/>
      <c r="FJ109" s="33"/>
      <c r="FK109" s="33"/>
      <c r="FL109" s="33"/>
      <c r="FM109" s="33"/>
      <c r="FN109" s="33"/>
      <c r="FO109" s="33"/>
      <c r="FP109" s="33"/>
      <c r="FQ109" s="33"/>
      <c r="FR109" s="33"/>
      <c r="FS109" s="33"/>
      <c r="FT109" s="33"/>
      <c r="FU109" s="33"/>
      <c r="FV109" s="33"/>
      <c r="FW109" s="33"/>
      <c r="FX109" s="33"/>
      <c r="FY109" s="33"/>
      <c r="FZ109" s="33"/>
      <c r="GA109" s="33"/>
    </row>
    <row r="110" ht="15.75" customHeight="1">
      <c r="A110" s="20" t="s">
        <v>338</v>
      </c>
      <c r="B110" s="20"/>
      <c r="C110" s="44"/>
      <c r="D110" s="44"/>
      <c r="E110" s="44"/>
      <c r="F110" s="44"/>
      <c r="G110" s="44"/>
      <c r="H110" s="44"/>
      <c r="I110" s="44"/>
      <c r="J110" s="44"/>
      <c r="K110" s="100"/>
      <c r="L110" s="100"/>
      <c r="M110" s="100"/>
      <c r="N110" s="100"/>
      <c r="O110" s="44"/>
      <c r="P110" s="24"/>
      <c r="Q110" s="24" t="str">
        <f t="shared" si="1"/>
        <v>fine-grained, homogeneous, white marble</v>
      </c>
      <c r="R110" s="51" t="s">
        <v>180</v>
      </c>
      <c r="S110" s="51" t="s">
        <v>189</v>
      </c>
      <c r="T110" s="51" t="s">
        <v>194</v>
      </c>
      <c r="U110" s="51" t="s">
        <v>195</v>
      </c>
      <c r="V110" s="44"/>
      <c r="W110" s="51" t="s">
        <v>166</v>
      </c>
      <c r="X110" s="51">
        <v>1.2</v>
      </c>
      <c r="Y110" s="51" t="s">
        <v>191</v>
      </c>
      <c r="Z110" s="51" t="s">
        <v>219</v>
      </c>
      <c r="AE110" s="110"/>
      <c r="AM110" s="44"/>
      <c r="AN110" s="44"/>
      <c r="AO110" s="43">
        <f t="shared" si="7"/>
        <v>0</v>
      </c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  <c r="BJ110" s="44"/>
      <c r="BK110" s="44"/>
      <c r="BL110" s="44"/>
      <c r="BM110" s="44"/>
      <c r="BN110" s="44"/>
      <c r="BO110" s="44"/>
      <c r="BP110" s="44"/>
      <c r="BQ110" s="44"/>
      <c r="BR110" s="44"/>
      <c r="BS110" s="44"/>
      <c r="BT110" s="44"/>
      <c r="BU110" s="44"/>
      <c r="BV110" s="44"/>
      <c r="BW110" s="44"/>
      <c r="BX110" s="44"/>
      <c r="BY110" s="44"/>
      <c r="BZ110" s="44"/>
      <c r="CA110" s="44"/>
      <c r="CB110" s="44"/>
      <c r="CC110" s="44"/>
      <c r="CD110" s="44"/>
      <c r="CW110" s="135"/>
      <c r="CX110" s="124"/>
      <c r="CY110" s="124"/>
    </row>
    <row r="111" ht="15.75" customHeight="1">
      <c r="A111" s="20" t="s">
        <v>339</v>
      </c>
      <c r="B111" s="20"/>
      <c r="C111" s="44"/>
      <c r="D111" s="44"/>
      <c r="E111" s="44"/>
      <c r="F111" s="44"/>
      <c r="G111" s="44"/>
      <c r="H111" s="44"/>
      <c r="I111" s="44"/>
      <c r="J111" s="44"/>
      <c r="K111" s="100"/>
      <c r="L111" s="100"/>
      <c r="M111" s="100"/>
      <c r="N111" s="100"/>
      <c r="O111" s="44"/>
      <c r="P111" s="24"/>
      <c r="Q111" s="24" t="str">
        <f t="shared" si="1"/>
        <v>very fine-grained, spotted and veined, white marble</v>
      </c>
      <c r="R111" s="51" t="s">
        <v>188</v>
      </c>
      <c r="S111" s="51" t="s">
        <v>189</v>
      </c>
      <c r="T111" s="51" t="s">
        <v>340</v>
      </c>
      <c r="U111" s="51" t="s">
        <v>181</v>
      </c>
      <c r="V111" s="44"/>
      <c r="W111" s="51" t="s">
        <v>166</v>
      </c>
      <c r="X111" s="51">
        <v>0.3</v>
      </c>
      <c r="Y111" s="51" t="s">
        <v>196</v>
      </c>
      <c r="Z111" s="51" t="s">
        <v>198</v>
      </c>
      <c r="AE111" s="110"/>
      <c r="AM111" s="44"/>
      <c r="AN111" s="44"/>
      <c r="AO111" s="43">
        <f t="shared" si="7"/>
        <v>0</v>
      </c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  <c r="BK111" s="44"/>
      <c r="BL111" s="44"/>
      <c r="BM111" s="44"/>
      <c r="BN111" s="44"/>
      <c r="BO111" s="44"/>
      <c r="BP111" s="44"/>
      <c r="BQ111" s="44"/>
      <c r="BR111" s="44"/>
      <c r="BS111" s="44"/>
      <c r="BT111" s="44"/>
      <c r="BU111" s="44"/>
      <c r="BV111" s="44"/>
      <c r="BW111" s="44"/>
      <c r="BX111" s="44"/>
      <c r="BY111" s="44"/>
      <c r="BZ111" s="44"/>
      <c r="CA111" s="44"/>
      <c r="CB111" s="44"/>
      <c r="CC111" s="44"/>
      <c r="CD111" s="44"/>
      <c r="CW111" s="135"/>
      <c r="CX111" s="124"/>
      <c r="CY111" s="124"/>
    </row>
    <row r="112" ht="15.75" customHeight="1">
      <c r="A112" s="20" t="s">
        <v>341</v>
      </c>
      <c r="B112" s="20"/>
      <c r="C112" s="22"/>
      <c r="D112" s="22"/>
      <c r="E112" s="22"/>
      <c r="F112" s="22"/>
      <c r="G112" s="22"/>
      <c r="H112" s="22"/>
      <c r="I112" s="22"/>
      <c r="J112" s="22"/>
      <c r="K112" s="23"/>
      <c r="L112" s="23"/>
      <c r="M112" s="23"/>
      <c r="N112" s="23"/>
      <c r="O112" s="22"/>
      <c r="P112" s="24"/>
      <c r="Q112" s="24" t="str">
        <f t="shared" si="1"/>
        <v>very fine-grained, banded, white marble</v>
      </c>
      <c r="R112" s="22" t="s">
        <v>188</v>
      </c>
      <c r="S112" s="22" t="s">
        <v>189</v>
      </c>
      <c r="T112" s="22" t="s">
        <v>182</v>
      </c>
      <c r="U112" s="22" t="s">
        <v>181</v>
      </c>
      <c r="V112" s="22"/>
      <c r="W112" s="20" t="s">
        <v>166</v>
      </c>
      <c r="X112" s="22">
        <v>0.5</v>
      </c>
      <c r="Y112" s="22"/>
      <c r="Z112" s="22"/>
      <c r="AB112" s="106" t="s">
        <v>166</v>
      </c>
      <c r="AC112" s="106">
        <v>0.5</v>
      </c>
      <c r="AD112" s="106" t="s">
        <v>196</v>
      </c>
      <c r="AE112" s="107" t="s">
        <v>245</v>
      </c>
      <c r="AF112" s="106" t="s">
        <v>186</v>
      </c>
      <c r="AM112" s="22"/>
      <c r="AN112" s="22"/>
      <c r="AO112" s="43">
        <f t="shared" si="7"/>
        <v>0</v>
      </c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V112" s="33" t="s">
        <v>164</v>
      </c>
      <c r="CW112" s="132" t="s">
        <v>166</v>
      </c>
      <c r="CX112" s="118">
        <v>1.96</v>
      </c>
      <c r="CY112" s="133">
        <v>-1.78</v>
      </c>
      <c r="DJ112" s="33"/>
      <c r="DK112" s="33"/>
      <c r="DL112" s="33"/>
      <c r="DM112" s="33"/>
      <c r="DN112" s="33"/>
      <c r="DO112" s="33"/>
      <c r="DP112" s="33"/>
      <c r="DQ112" s="33"/>
      <c r="DR112" s="33"/>
      <c r="DS112" s="33"/>
      <c r="DT112" s="33"/>
      <c r="DU112" s="33"/>
      <c r="DV112" s="33"/>
      <c r="DW112" s="33"/>
      <c r="DX112" s="33"/>
      <c r="DY112" s="33"/>
      <c r="DZ112" s="33"/>
      <c r="EA112" s="33"/>
      <c r="EB112" s="33"/>
      <c r="EC112" s="33"/>
      <c r="ED112" s="33"/>
      <c r="EE112" s="33"/>
      <c r="EF112" s="33"/>
      <c r="EG112" s="33"/>
      <c r="EH112" s="33"/>
      <c r="EI112" s="33"/>
      <c r="EJ112" s="33"/>
      <c r="EK112" s="33"/>
      <c r="EL112" s="33"/>
      <c r="EM112" s="33"/>
      <c r="EN112" s="33"/>
      <c r="EO112" s="33"/>
      <c r="EP112" s="33"/>
      <c r="EQ112" s="33"/>
      <c r="ER112" s="33"/>
      <c r="ES112" s="33"/>
      <c r="ET112" s="33"/>
      <c r="EU112" s="33"/>
      <c r="EV112" s="33"/>
      <c r="EW112" s="33"/>
      <c r="EX112" s="33"/>
      <c r="EY112" s="33"/>
      <c r="EZ112" s="33"/>
    </row>
    <row r="113" ht="15.75" customHeight="1">
      <c r="A113" s="20" t="s">
        <v>342</v>
      </c>
      <c r="B113" s="20"/>
      <c r="C113" s="22"/>
      <c r="D113" s="22"/>
      <c r="E113" s="22"/>
      <c r="F113" s="22"/>
      <c r="G113" s="22"/>
      <c r="H113" s="22"/>
      <c r="I113" s="22"/>
      <c r="J113" s="22"/>
      <c r="K113" s="23"/>
      <c r="L113" s="23"/>
      <c r="M113" s="23"/>
      <c r="N113" s="23"/>
      <c r="O113" s="22"/>
      <c r="P113" s="24"/>
      <c r="Q113" s="24" t="str">
        <f t="shared" si="1"/>
        <v>fine-grained, homogeneous, white marble</v>
      </c>
      <c r="R113" s="22" t="s">
        <v>180</v>
      </c>
      <c r="S113" s="22" t="s">
        <v>189</v>
      </c>
      <c r="T113" s="22" t="s">
        <v>194</v>
      </c>
      <c r="U113" s="22"/>
      <c r="V113" s="22"/>
      <c r="W113" s="20" t="s">
        <v>166</v>
      </c>
      <c r="X113" s="22">
        <v>1.5</v>
      </c>
      <c r="Y113" s="22"/>
      <c r="Z113" s="22" t="s">
        <v>198</v>
      </c>
      <c r="AB113" s="106" t="s">
        <v>166</v>
      </c>
      <c r="AC113" s="106">
        <v>1.8</v>
      </c>
      <c r="AD113" s="106" t="s">
        <v>209</v>
      </c>
      <c r="AE113" s="107" t="s">
        <v>198</v>
      </c>
      <c r="AL113" s="106" t="s">
        <v>166</v>
      </c>
      <c r="AM113" s="22"/>
      <c r="AN113" s="22"/>
      <c r="AO113" s="43">
        <f t="shared" si="7"/>
        <v>0</v>
      </c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V113" s="33" t="s">
        <v>164</v>
      </c>
      <c r="CW113" s="132" t="s">
        <v>166</v>
      </c>
      <c r="CX113" s="118">
        <v>3.43</v>
      </c>
      <c r="CY113" s="133">
        <v>-1.18</v>
      </c>
      <c r="DJ113" s="134"/>
      <c r="DK113" s="63"/>
      <c r="DL113" s="63"/>
      <c r="DM113" s="63"/>
      <c r="DN113" s="63"/>
      <c r="DO113" s="63"/>
      <c r="DP113" s="63"/>
      <c r="DQ113" s="63"/>
      <c r="DR113" s="63"/>
      <c r="DS113" s="63"/>
      <c r="DT113" s="63"/>
      <c r="DU113" s="63"/>
      <c r="DV113" s="63"/>
      <c r="DW113" s="63"/>
      <c r="DX113" s="63"/>
      <c r="DY113" s="63"/>
      <c r="DZ113" s="63"/>
      <c r="EA113" s="63"/>
      <c r="EB113" s="63"/>
      <c r="EC113" s="63"/>
      <c r="ED113" s="63"/>
      <c r="EE113" s="63"/>
      <c r="EF113" s="63"/>
      <c r="EG113" s="63"/>
      <c r="EH113" s="63"/>
      <c r="EI113" s="63"/>
      <c r="EJ113" s="63"/>
      <c r="EK113" s="63"/>
      <c r="EL113" s="63"/>
      <c r="EM113" s="63"/>
      <c r="EN113" s="63"/>
      <c r="EO113" s="63"/>
      <c r="EP113" s="63"/>
      <c r="EQ113" s="63"/>
      <c r="ER113" s="63"/>
      <c r="ES113" s="63"/>
      <c r="ET113" s="63"/>
      <c r="EU113" s="63"/>
      <c r="EV113" s="63"/>
      <c r="EW113" s="63"/>
      <c r="EX113" s="63"/>
      <c r="EY113" s="63"/>
      <c r="EZ113" s="63"/>
    </row>
    <row r="114" ht="15.75" customHeight="1">
      <c r="A114" s="20" t="s">
        <v>343</v>
      </c>
      <c r="B114" s="20"/>
      <c r="C114" s="22"/>
      <c r="D114" s="22"/>
      <c r="E114" s="22"/>
      <c r="F114" s="22"/>
      <c r="G114" s="22"/>
      <c r="H114" s="22"/>
      <c r="I114" s="22"/>
      <c r="J114" s="22"/>
      <c r="K114" s="23"/>
      <c r="L114" s="23"/>
      <c r="M114" s="23"/>
      <c r="N114" s="23"/>
      <c r="O114" s="22"/>
      <c r="P114" s="24"/>
      <c r="Q114" s="24" t="str">
        <f t="shared" si="1"/>
        <v>coarse-grained, veined, white marble</v>
      </c>
      <c r="R114" s="22" t="s">
        <v>222</v>
      </c>
      <c r="S114" s="22" t="s">
        <v>189</v>
      </c>
      <c r="T114" s="22" t="s">
        <v>206</v>
      </c>
      <c r="U114" s="22" t="s">
        <v>344</v>
      </c>
      <c r="V114" s="22"/>
      <c r="W114" s="20" t="s">
        <v>166</v>
      </c>
      <c r="X114" s="22">
        <v>11.0</v>
      </c>
      <c r="Y114" s="22"/>
      <c r="Z114" s="22"/>
      <c r="AB114" s="106" t="s">
        <v>166</v>
      </c>
      <c r="AC114" s="106">
        <v>3.3</v>
      </c>
      <c r="AD114" s="106" t="s">
        <v>183</v>
      </c>
      <c r="AE114" s="107" t="s">
        <v>198</v>
      </c>
      <c r="AF114" s="106" t="s">
        <v>186</v>
      </c>
      <c r="AM114" s="22"/>
      <c r="AN114" s="22"/>
      <c r="AO114" s="43">
        <f t="shared" si="7"/>
        <v>0</v>
      </c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V114" s="33" t="s">
        <v>164</v>
      </c>
      <c r="CW114" s="132" t="s">
        <v>166</v>
      </c>
      <c r="CX114" s="122">
        <v>2.17</v>
      </c>
      <c r="CY114" s="136">
        <v>-4.78</v>
      </c>
      <c r="DJ114" s="134"/>
      <c r="DK114" s="63"/>
      <c r="DL114" s="63"/>
      <c r="DM114" s="63"/>
      <c r="DN114" s="63"/>
      <c r="DO114" s="63"/>
      <c r="DP114" s="63"/>
      <c r="DQ114" s="63"/>
      <c r="DR114" s="63"/>
      <c r="DS114" s="63"/>
      <c r="DT114" s="63"/>
      <c r="DU114" s="63"/>
      <c r="DV114" s="63"/>
      <c r="DW114" s="63"/>
      <c r="DX114" s="63"/>
      <c r="DY114" s="63"/>
      <c r="DZ114" s="63"/>
      <c r="EA114" s="63"/>
      <c r="EB114" s="63"/>
      <c r="EC114" s="63"/>
      <c r="ED114" s="63"/>
      <c r="EE114" s="63"/>
      <c r="EF114" s="63"/>
      <c r="EG114" s="63"/>
      <c r="EH114" s="63"/>
      <c r="EI114" s="63"/>
      <c r="EJ114" s="63"/>
      <c r="EK114" s="63"/>
      <c r="EL114" s="63"/>
      <c r="EM114" s="63"/>
      <c r="EN114" s="63"/>
      <c r="EO114" s="63"/>
      <c r="EP114" s="63"/>
      <c r="EQ114" s="63"/>
      <c r="ER114" s="63"/>
      <c r="ES114" s="63"/>
      <c r="ET114" s="63"/>
      <c r="EU114" s="63"/>
      <c r="EV114" s="63"/>
      <c r="EW114" s="63"/>
      <c r="EX114" s="63"/>
      <c r="EY114" s="63"/>
      <c r="EZ114" s="63"/>
    </row>
    <row r="115" ht="15.75" customHeight="1">
      <c r="A115" s="20" t="s">
        <v>345</v>
      </c>
      <c r="B115" s="20"/>
      <c r="C115" s="22"/>
      <c r="D115" s="22"/>
      <c r="E115" s="22"/>
      <c r="F115" s="22"/>
      <c r="G115" s="22"/>
      <c r="H115" s="22"/>
      <c r="I115" s="22"/>
      <c r="J115" s="22"/>
      <c r="K115" s="23"/>
      <c r="L115" s="23"/>
      <c r="M115" s="23"/>
      <c r="N115" s="23"/>
      <c r="O115" s="22"/>
      <c r="P115" s="24"/>
      <c r="Q115" s="24" t="str">
        <f t="shared" si="1"/>
        <v>fine-grained, veined, grey marble</v>
      </c>
      <c r="R115" s="22" t="s">
        <v>180</v>
      </c>
      <c r="S115" s="22" t="s">
        <v>181</v>
      </c>
      <c r="T115" s="22" t="s">
        <v>206</v>
      </c>
      <c r="U115" s="22" t="s">
        <v>346</v>
      </c>
      <c r="V115" s="22"/>
      <c r="W115" s="20" t="s">
        <v>166</v>
      </c>
      <c r="X115" s="22">
        <v>0.6</v>
      </c>
      <c r="Y115" s="22"/>
      <c r="Z115" s="22"/>
      <c r="AB115" s="106" t="s">
        <v>166</v>
      </c>
      <c r="AC115" s="106">
        <v>0.8</v>
      </c>
      <c r="AD115" s="106" t="s">
        <v>191</v>
      </c>
      <c r="AE115" s="107" t="s">
        <v>184</v>
      </c>
      <c r="AM115" s="22"/>
      <c r="AN115" s="22"/>
      <c r="AO115" s="43">
        <f t="shared" si="7"/>
        <v>0</v>
      </c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V115" s="33" t="s">
        <v>164</v>
      </c>
      <c r="CW115" s="137" t="s">
        <v>166</v>
      </c>
      <c r="CX115" s="121">
        <v>3.04</v>
      </c>
      <c r="CY115" s="138">
        <v>-6.77</v>
      </c>
      <c r="DJ115" s="134"/>
      <c r="DK115" s="63"/>
      <c r="DL115" s="63"/>
      <c r="DM115" s="63"/>
      <c r="DN115" s="63"/>
      <c r="DO115" s="63"/>
      <c r="DP115" s="63"/>
      <c r="DQ115" s="63"/>
      <c r="DR115" s="63"/>
      <c r="DS115" s="63"/>
      <c r="DT115" s="63"/>
      <c r="DU115" s="63"/>
      <c r="DV115" s="63"/>
      <c r="DW115" s="63"/>
      <c r="DX115" s="63"/>
      <c r="DY115" s="63"/>
      <c r="DZ115" s="63"/>
      <c r="EA115" s="63"/>
      <c r="EB115" s="63"/>
      <c r="EC115" s="63"/>
      <c r="ED115" s="63"/>
      <c r="EE115" s="63"/>
      <c r="EF115" s="63"/>
      <c r="EG115" s="63"/>
      <c r="EH115" s="63"/>
      <c r="EI115" s="63"/>
      <c r="EJ115" s="63"/>
      <c r="EK115" s="63"/>
      <c r="EL115" s="63"/>
      <c r="EM115" s="63"/>
      <c r="EN115" s="63"/>
      <c r="EO115" s="63"/>
      <c r="EP115" s="63"/>
      <c r="EQ115" s="63"/>
      <c r="ER115" s="63"/>
      <c r="ES115" s="63"/>
      <c r="ET115" s="63"/>
      <c r="EU115" s="63"/>
      <c r="EV115" s="63"/>
      <c r="EW115" s="63"/>
      <c r="EX115" s="63"/>
      <c r="EY115" s="63"/>
      <c r="EZ115" s="63"/>
    </row>
    <row r="116" ht="15.75" customHeight="1">
      <c r="A116" s="20" t="s">
        <v>347</v>
      </c>
      <c r="B116" s="20"/>
      <c r="C116" s="44"/>
      <c r="D116" s="44"/>
      <c r="E116" s="44"/>
      <c r="F116" s="44"/>
      <c r="G116" s="44"/>
      <c r="H116" s="44"/>
      <c r="I116" s="44"/>
      <c r="J116" s="44"/>
      <c r="K116" s="100"/>
      <c r="L116" s="100"/>
      <c r="M116" s="100"/>
      <c r="N116" s="100"/>
      <c r="O116" s="44"/>
      <c r="P116" s="24"/>
      <c r="Q116" s="24" t="str">
        <f t="shared" si="1"/>
        <v>medium-grained, homogeneous, grey marble</v>
      </c>
      <c r="R116" s="51" t="s">
        <v>205</v>
      </c>
      <c r="S116" s="51" t="s">
        <v>181</v>
      </c>
      <c r="T116" s="51" t="s">
        <v>194</v>
      </c>
      <c r="U116" s="51" t="s">
        <v>195</v>
      </c>
      <c r="V116" s="51" t="s">
        <v>166</v>
      </c>
      <c r="W116" s="51" t="s">
        <v>166</v>
      </c>
      <c r="X116" s="51">
        <v>2.5</v>
      </c>
      <c r="Y116" s="51" t="s">
        <v>183</v>
      </c>
      <c r="Z116" s="51" t="s">
        <v>184</v>
      </c>
      <c r="AB116" s="106" t="s">
        <v>166</v>
      </c>
      <c r="AC116" s="106">
        <v>3.0</v>
      </c>
      <c r="AD116" s="106" t="s">
        <v>183</v>
      </c>
      <c r="AE116" s="106" t="s">
        <v>198</v>
      </c>
      <c r="AF116" s="106" t="s">
        <v>186</v>
      </c>
      <c r="AM116" s="44"/>
      <c r="AN116" s="44"/>
      <c r="AO116" s="43">
        <f t="shared" si="7"/>
        <v>0</v>
      </c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4"/>
      <c r="BK116" s="44"/>
      <c r="BL116" s="44"/>
      <c r="BM116" s="44"/>
      <c r="BN116" s="44"/>
      <c r="BO116" s="44"/>
      <c r="BP116" s="44"/>
      <c r="BQ116" s="44"/>
      <c r="BR116" s="44"/>
      <c r="BS116" s="44"/>
      <c r="BT116" s="44"/>
      <c r="BU116" s="44"/>
      <c r="BV116" s="44"/>
      <c r="BW116" s="44"/>
      <c r="BX116" s="44"/>
      <c r="BY116" s="44"/>
      <c r="BZ116" s="44"/>
      <c r="CA116" s="44"/>
      <c r="CB116" s="44"/>
      <c r="CC116" s="44"/>
      <c r="CD116" s="44"/>
      <c r="CW116" s="139"/>
      <c r="CX116" s="124"/>
      <c r="CY116" s="124"/>
    </row>
    <row r="117" ht="15.75" customHeight="1">
      <c r="A117" s="20" t="s">
        <v>348</v>
      </c>
      <c r="B117" s="20"/>
      <c r="C117" s="44"/>
      <c r="D117" s="44"/>
      <c r="E117" s="44"/>
      <c r="F117" s="44"/>
      <c r="G117" s="44"/>
      <c r="H117" s="44"/>
      <c r="I117" s="44"/>
      <c r="J117" s="44"/>
      <c r="K117" s="100"/>
      <c r="L117" s="100"/>
      <c r="M117" s="100"/>
      <c r="N117" s="100"/>
      <c r="O117" s="44"/>
      <c r="P117" s="24"/>
      <c r="Q117" s="24" t="str">
        <f t="shared" si="1"/>
        <v>fine-grained, homogeneous, white marble</v>
      </c>
      <c r="R117" s="51" t="s">
        <v>180</v>
      </c>
      <c r="S117" s="51" t="s">
        <v>189</v>
      </c>
      <c r="T117" s="51" t="s">
        <v>194</v>
      </c>
      <c r="U117" s="51" t="s">
        <v>195</v>
      </c>
      <c r="V117" s="44"/>
      <c r="W117" s="51" t="s">
        <v>166</v>
      </c>
      <c r="X117" s="51">
        <v>1.3</v>
      </c>
      <c r="Y117" s="51" t="s">
        <v>191</v>
      </c>
      <c r="Z117" s="51" t="s">
        <v>207</v>
      </c>
      <c r="AE117" s="110"/>
      <c r="AM117" s="44"/>
      <c r="AN117" s="44"/>
      <c r="AO117" s="43">
        <f t="shared" si="7"/>
        <v>0</v>
      </c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  <c r="BK117" s="44"/>
      <c r="BL117" s="44"/>
      <c r="BM117" s="44"/>
      <c r="BN117" s="44"/>
      <c r="BO117" s="44"/>
      <c r="BP117" s="44"/>
      <c r="BQ117" s="44"/>
      <c r="BR117" s="44"/>
      <c r="BS117" s="44"/>
      <c r="BT117" s="44"/>
      <c r="BU117" s="44"/>
      <c r="BV117" s="44"/>
      <c r="BW117" s="44"/>
      <c r="BX117" s="44"/>
      <c r="BY117" s="44"/>
      <c r="BZ117" s="44"/>
      <c r="CA117" s="44"/>
      <c r="CB117" s="44"/>
      <c r="CC117" s="44"/>
      <c r="CD117" s="44"/>
      <c r="CW117" s="123"/>
      <c r="CX117" s="124"/>
      <c r="CY117" s="124"/>
    </row>
    <row r="118" ht="15.75" customHeight="1">
      <c r="A118" s="20" t="s">
        <v>349</v>
      </c>
      <c r="B118" s="20"/>
      <c r="C118" s="44"/>
      <c r="D118" s="44"/>
      <c r="E118" s="44"/>
      <c r="F118" s="44"/>
      <c r="G118" s="44"/>
      <c r="H118" s="44"/>
      <c r="I118" s="44"/>
      <c r="J118" s="44"/>
      <c r="K118" s="100"/>
      <c r="L118" s="100"/>
      <c r="M118" s="100"/>
      <c r="N118" s="100"/>
      <c r="O118" s="44"/>
      <c r="P118" s="24"/>
      <c r="Q118" s="24" t="str">
        <f t="shared" si="1"/>
        <v>fine-grained, homogeneous, white marble</v>
      </c>
      <c r="R118" s="51" t="s">
        <v>180</v>
      </c>
      <c r="S118" s="51" t="s">
        <v>189</v>
      </c>
      <c r="T118" s="51" t="s">
        <v>194</v>
      </c>
      <c r="U118" s="51" t="s">
        <v>195</v>
      </c>
      <c r="V118" s="44"/>
      <c r="W118" s="51" t="s">
        <v>166</v>
      </c>
      <c r="X118" s="51">
        <v>1.3</v>
      </c>
      <c r="Y118" s="51" t="s">
        <v>191</v>
      </c>
      <c r="Z118" s="51" t="s">
        <v>207</v>
      </c>
      <c r="AE118" s="110"/>
      <c r="AM118" s="44"/>
      <c r="AN118" s="44"/>
      <c r="AO118" s="43">
        <f t="shared" si="7"/>
        <v>0</v>
      </c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  <c r="BI118" s="44"/>
      <c r="BJ118" s="44"/>
      <c r="BK118" s="44"/>
      <c r="BL118" s="44"/>
      <c r="BM118" s="44"/>
      <c r="BN118" s="44"/>
      <c r="BO118" s="44"/>
      <c r="BP118" s="44"/>
      <c r="BQ118" s="44"/>
      <c r="BR118" s="44"/>
      <c r="BS118" s="44"/>
      <c r="BT118" s="44"/>
      <c r="BU118" s="44"/>
      <c r="BV118" s="44"/>
      <c r="BW118" s="44"/>
      <c r="BX118" s="44"/>
      <c r="BY118" s="44"/>
      <c r="BZ118" s="44"/>
      <c r="CA118" s="44"/>
      <c r="CB118" s="44"/>
      <c r="CC118" s="44"/>
      <c r="CD118" s="44"/>
      <c r="CW118" s="135"/>
      <c r="CX118" s="124"/>
      <c r="CY118" s="124"/>
    </row>
    <row r="119" ht="15.75" customHeight="1">
      <c r="A119" s="20" t="s">
        <v>350</v>
      </c>
      <c r="B119" s="20"/>
      <c r="C119" s="44"/>
      <c r="D119" s="44"/>
      <c r="E119" s="44"/>
      <c r="F119" s="44"/>
      <c r="G119" s="44"/>
      <c r="H119" s="44"/>
      <c r="I119" s="44"/>
      <c r="J119" s="44"/>
      <c r="K119" s="100"/>
      <c r="L119" s="100"/>
      <c r="M119" s="100"/>
      <c r="N119" s="100"/>
      <c r="O119" s="44"/>
      <c r="P119" s="24"/>
      <c r="Q119" s="24" t="str">
        <f t="shared" si="1"/>
        <v>medium-grained, banded, white marble</v>
      </c>
      <c r="R119" s="51" t="s">
        <v>205</v>
      </c>
      <c r="S119" s="51" t="s">
        <v>189</v>
      </c>
      <c r="T119" s="51" t="s">
        <v>182</v>
      </c>
      <c r="U119" s="51" t="s">
        <v>181</v>
      </c>
      <c r="V119" s="44"/>
      <c r="W119" s="51" t="s">
        <v>166</v>
      </c>
      <c r="X119" s="51">
        <v>2.4</v>
      </c>
      <c r="Y119" s="51" t="s">
        <v>183</v>
      </c>
      <c r="Z119" s="51" t="s">
        <v>213</v>
      </c>
      <c r="AE119" s="110"/>
      <c r="AM119" s="44"/>
      <c r="AN119" s="44"/>
      <c r="AO119" s="43">
        <f t="shared" si="7"/>
        <v>0</v>
      </c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4"/>
      <c r="BI119" s="44"/>
      <c r="BJ119" s="44"/>
      <c r="BK119" s="44"/>
      <c r="BL119" s="44"/>
      <c r="BM119" s="44"/>
      <c r="BN119" s="44"/>
      <c r="BO119" s="44"/>
      <c r="BP119" s="44"/>
      <c r="BQ119" s="44"/>
      <c r="BR119" s="44"/>
      <c r="BS119" s="44"/>
      <c r="BT119" s="44"/>
      <c r="BU119" s="44"/>
      <c r="BV119" s="44"/>
      <c r="BW119" s="44"/>
      <c r="BX119" s="44"/>
      <c r="BY119" s="44"/>
      <c r="BZ119" s="44"/>
      <c r="CA119" s="44"/>
      <c r="CB119" s="44"/>
      <c r="CC119" s="44"/>
      <c r="CD119" s="44"/>
      <c r="CW119" s="116"/>
      <c r="CX119" s="47"/>
      <c r="CY119" s="47"/>
      <c r="FA119" s="33"/>
      <c r="FB119" s="33"/>
      <c r="FC119" s="33"/>
      <c r="FD119" s="33"/>
      <c r="FE119" s="33"/>
      <c r="FF119" s="33"/>
      <c r="FG119" s="33"/>
      <c r="FH119" s="33"/>
      <c r="FI119" s="33"/>
      <c r="FJ119" s="33"/>
      <c r="FK119" s="33"/>
      <c r="FL119" s="33"/>
      <c r="FM119" s="33"/>
      <c r="FN119" s="33"/>
      <c r="FO119" s="33"/>
      <c r="FP119" s="33"/>
      <c r="FQ119" s="33"/>
      <c r="FR119" s="33"/>
      <c r="FS119" s="33"/>
      <c r="FT119" s="33"/>
      <c r="FU119" s="33"/>
      <c r="FV119" s="33"/>
      <c r="FW119" s="33"/>
      <c r="FX119" s="33"/>
      <c r="FY119" s="33"/>
      <c r="FZ119" s="33"/>
      <c r="GA119" s="33"/>
    </row>
    <row r="120" ht="15.75" customHeight="1">
      <c r="A120" s="20" t="s">
        <v>351</v>
      </c>
      <c r="B120" s="20"/>
      <c r="C120" s="22"/>
      <c r="D120" s="22"/>
      <c r="E120" s="22"/>
      <c r="F120" s="22"/>
      <c r="G120" s="22"/>
      <c r="H120" s="22"/>
      <c r="I120" s="22"/>
      <c r="J120" s="22"/>
      <c r="K120" s="48" t="s">
        <v>218</v>
      </c>
      <c r="L120" s="23"/>
      <c r="M120" s="23"/>
      <c r="N120" s="23"/>
      <c r="O120" s="22" t="s">
        <v>164</v>
      </c>
      <c r="P120" s="76" t="s">
        <v>352</v>
      </c>
      <c r="Q120" s="24" t="str">
        <f t="shared" si="1"/>
        <v>medium-grained, banded, grey marble</v>
      </c>
      <c r="R120" s="20" t="s">
        <v>205</v>
      </c>
      <c r="S120" s="20" t="s">
        <v>181</v>
      </c>
      <c r="T120" s="20" t="s">
        <v>182</v>
      </c>
      <c r="U120" s="20" t="s">
        <v>189</v>
      </c>
      <c r="V120" s="20" t="s">
        <v>190</v>
      </c>
      <c r="W120" s="20" t="s">
        <v>166</v>
      </c>
      <c r="X120" s="20">
        <v>0.6</v>
      </c>
      <c r="Y120" s="20" t="s">
        <v>183</v>
      </c>
      <c r="Z120" s="20" t="s">
        <v>198</v>
      </c>
      <c r="AA120" s="33"/>
      <c r="AB120" s="50" t="s">
        <v>166</v>
      </c>
      <c r="AC120" s="50">
        <v>1.7</v>
      </c>
      <c r="AD120" s="50" t="s">
        <v>183</v>
      </c>
      <c r="AE120" s="36" t="s">
        <v>213</v>
      </c>
      <c r="AF120" s="33" t="s">
        <v>164</v>
      </c>
      <c r="AG120" s="33" t="s">
        <v>164</v>
      </c>
      <c r="AH120" s="50" t="s">
        <v>166</v>
      </c>
      <c r="AI120" s="33" t="s">
        <v>164</v>
      </c>
      <c r="AJ120" s="33" t="s">
        <v>164</v>
      </c>
      <c r="AK120" s="33" t="s">
        <v>164</v>
      </c>
      <c r="AL120" s="33" t="s">
        <v>164</v>
      </c>
      <c r="AM120" s="22"/>
      <c r="AN120" s="22"/>
      <c r="AO120" s="43">
        <f t="shared" si="7"/>
        <v>0</v>
      </c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 t="s">
        <v>164</v>
      </c>
      <c r="BF120" s="22" t="s">
        <v>164</v>
      </c>
      <c r="BG120" s="22" t="s">
        <v>164</v>
      </c>
      <c r="BH120" s="22" t="s">
        <v>164</v>
      </c>
      <c r="BI120" s="22"/>
      <c r="BJ120" s="22" t="s">
        <v>164</v>
      </c>
      <c r="BK120" s="22"/>
      <c r="BL120" s="22" t="s">
        <v>164</v>
      </c>
      <c r="BM120" s="22"/>
      <c r="BN120" s="22" t="s">
        <v>164</v>
      </c>
      <c r="BO120" s="22"/>
      <c r="BP120" s="22"/>
      <c r="BQ120" s="22"/>
      <c r="BR120" s="22" t="s">
        <v>164</v>
      </c>
      <c r="BS120" s="22"/>
      <c r="BT120" s="22" t="s">
        <v>164</v>
      </c>
      <c r="BU120" s="22"/>
      <c r="BV120" s="22"/>
      <c r="BW120" s="22"/>
      <c r="BX120" s="22" t="s">
        <v>164</v>
      </c>
      <c r="BY120" s="22"/>
      <c r="BZ120" s="22" t="s">
        <v>164</v>
      </c>
      <c r="CA120" s="22"/>
      <c r="CB120" s="22" t="s">
        <v>164</v>
      </c>
      <c r="CC120" s="22"/>
      <c r="CD120" s="22" t="s">
        <v>164</v>
      </c>
      <c r="CE120" s="33" t="s">
        <v>164</v>
      </c>
      <c r="CF120" s="33" t="s">
        <v>164</v>
      </c>
      <c r="CG120" s="33" t="s">
        <v>164</v>
      </c>
      <c r="CH120" s="33" t="s">
        <v>164</v>
      </c>
      <c r="CI120" s="33" t="s">
        <v>164</v>
      </c>
      <c r="CJ120" s="33" t="s">
        <v>164</v>
      </c>
      <c r="CK120" s="33" t="s">
        <v>164</v>
      </c>
      <c r="CL120" s="33" t="s">
        <v>164</v>
      </c>
      <c r="CM120" s="33" t="s">
        <v>164</v>
      </c>
      <c r="CN120" s="33" t="s">
        <v>164</v>
      </c>
      <c r="CO120" s="33" t="s">
        <v>164</v>
      </c>
      <c r="CP120" s="33" t="s">
        <v>164</v>
      </c>
      <c r="CQ120" s="33" t="s">
        <v>164</v>
      </c>
      <c r="CR120" s="33" t="s">
        <v>164</v>
      </c>
      <c r="CS120" s="33" t="s">
        <v>164</v>
      </c>
      <c r="CT120" s="33" t="s">
        <v>164</v>
      </c>
      <c r="CU120" s="33" t="s">
        <v>164</v>
      </c>
      <c r="CV120" s="33" t="s">
        <v>164</v>
      </c>
      <c r="CW120" s="140" t="s">
        <v>166</v>
      </c>
      <c r="CX120" s="38">
        <v>3.32</v>
      </c>
      <c r="CY120" s="38">
        <v>-2.49</v>
      </c>
      <c r="CZ120" s="50" t="s">
        <v>166</v>
      </c>
      <c r="DA120" s="33" t="s">
        <v>164</v>
      </c>
      <c r="DB120" s="33" t="s">
        <v>164</v>
      </c>
      <c r="DC120" s="33" t="s">
        <v>164</v>
      </c>
      <c r="DD120" s="33" t="s">
        <v>164</v>
      </c>
      <c r="DE120" s="33" t="s">
        <v>164</v>
      </c>
      <c r="DF120" s="33" t="s">
        <v>164</v>
      </c>
      <c r="DG120" s="33" t="s">
        <v>164</v>
      </c>
      <c r="DH120" s="33" t="s">
        <v>164</v>
      </c>
      <c r="DI120" s="33" t="s">
        <v>164</v>
      </c>
      <c r="DJ120" s="50" t="s">
        <v>166</v>
      </c>
      <c r="DK120" s="52">
        <v>1.0</v>
      </c>
      <c r="DL120" s="52">
        <v>6.65</v>
      </c>
      <c r="DM120" s="52">
        <v>122.02</v>
      </c>
      <c r="DN120" s="52">
        <v>11939.8</v>
      </c>
      <c r="DO120" s="52">
        <v>0.090923286</v>
      </c>
      <c r="DP120" s="52">
        <v>4.03</v>
      </c>
      <c r="DQ120" s="52">
        <v>0.79</v>
      </c>
      <c r="DR120" s="52">
        <v>4.73</v>
      </c>
      <c r="DS120" s="52">
        <v>25.48</v>
      </c>
      <c r="DT120" s="52">
        <v>290.26</v>
      </c>
      <c r="DU120" s="52">
        <v>0.3</v>
      </c>
      <c r="DV120" s="52">
        <v>4.5</v>
      </c>
      <c r="DW120" s="52">
        <v>2.34</v>
      </c>
      <c r="DX120" s="52">
        <v>25.78</v>
      </c>
      <c r="DY120" s="52">
        <v>0.21</v>
      </c>
      <c r="DZ120" s="52">
        <v>0.79</v>
      </c>
      <c r="EA120" s="52">
        <v>0.25</v>
      </c>
      <c r="EB120" s="52">
        <v>205.52</v>
      </c>
      <c r="EC120" s="52">
        <v>0.18</v>
      </c>
      <c r="ED120" s="52">
        <v>0.08</v>
      </c>
      <c r="EE120" s="52">
        <v>0.02</v>
      </c>
      <c r="EF120" s="52">
        <v>0.06</v>
      </c>
      <c r="EG120" s="52">
        <v>0.55</v>
      </c>
      <c r="EH120" s="52">
        <v>0.42</v>
      </c>
      <c r="EI120" s="52">
        <v>0.03</v>
      </c>
      <c r="EJ120" s="52">
        <v>3.55</v>
      </c>
      <c r="EK120" s="52">
        <v>0.09</v>
      </c>
      <c r="EL120" s="52">
        <v>0.18</v>
      </c>
      <c r="EM120" s="52">
        <v>0.1</v>
      </c>
      <c r="EN120" s="52">
        <v>0.02</v>
      </c>
      <c r="EO120" s="52">
        <v>0.01</v>
      </c>
      <c r="EP120" s="52">
        <v>0.03</v>
      </c>
      <c r="EQ120" s="52">
        <v>0.02</v>
      </c>
      <c r="ER120" s="52">
        <v>0.02</v>
      </c>
      <c r="ES120" s="52">
        <v>0.02</v>
      </c>
      <c r="ET120" s="52">
        <v>0.001613236</v>
      </c>
      <c r="EU120" s="52">
        <v>20.65</v>
      </c>
      <c r="EV120" s="52">
        <v>15.08</v>
      </c>
      <c r="EW120" s="52">
        <v>4.84</v>
      </c>
      <c r="EX120" s="52">
        <v>0.68</v>
      </c>
      <c r="EY120" s="52">
        <v>0.05</v>
      </c>
      <c r="EZ120" s="55"/>
      <c r="FA120" s="33"/>
      <c r="FB120" s="33"/>
      <c r="FC120" s="33"/>
      <c r="FD120" s="33"/>
      <c r="FE120" s="33"/>
      <c r="FF120" s="33"/>
      <c r="FG120" s="33"/>
      <c r="FH120" s="33"/>
      <c r="FI120" s="33"/>
      <c r="FJ120" s="33"/>
      <c r="FK120" s="33"/>
      <c r="FL120" s="33"/>
      <c r="FM120" s="33"/>
      <c r="FN120" s="33"/>
      <c r="FO120" s="33"/>
      <c r="FP120" s="33"/>
      <c r="FQ120" s="33"/>
      <c r="FR120" s="33"/>
      <c r="FS120" s="33"/>
      <c r="FT120" s="33"/>
      <c r="FU120" s="33"/>
      <c r="FV120" s="33"/>
      <c r="FW120" s="33"/>
      <c r="FX120" s="33"/>
      <c r="FY120" s="33"/>
      <c r="FZ120" s="33"/>
      <c r="GA120" s="33"/>
    </row>
    <row r="121" ht="15.75" customHeight="1">
      <c r="A121" s="20" t="s">
        <v>353</v>
      </c>
      <c r="B121" s="20"/>
      <c r="C121" s="22"/>
      <c r="D121" s="22"/>
      <c r="E121" s="22"/>
      <c r="F121" s="22"/>
      <c r="G121" s="22"/>
      <c r="H121" s="22"/>
      <c r="I121" s="22"/>
      <c r="J121" s="22"/>
      <c r="K121" s="23"/>
      <c r="L121" s="23"/>
      <c r="M121" s="23"/>
      <c r="N121" s="23"/>
      <c r="O121" s="22"/>
      <c r="P121" s="24"/>
      <c r="Q121" s="24" t="str">
        <f t="shared" si="1"/>
        <v>very fine-grained, homogeneous, white marble</v>
      </c>
      <c r="R121" s="20" t="s">
        <v>188</v>
      </c>
      <c r="S121" s="20" t="s">
        <v>189</v>
      </c>
      <c r="T121" s="20" t="s">
        <v>194</v>
      </c>
      <c r="U121" s="20" t="s">
        <v>195</v>
      </c>
      <c r="V121" s="22"/>
      <c r="W121" s="20" t="s">
        <v>166</v>
      </c>
      <c r="X121" s="20">
        <v>0.7</v>
      </c>
      <c r="Y121" s="20" t="s">
        <v>209</v>
      </c>
      <c r="Z121" s="20" t="s">
        <v>219</v>
      </c>
      <c r="AA121" s="33"/>
      <c r="AB121" s="33"/>
      <c r="AC121" s="33"/>
      <c r="AD121" s="33"/>
      <c r="AE121" s="88"/>
      <c r="AF121" s="33"/>
      <c r="AG121" s="33"/>
      <c r="AH121" s="33"/>
      <c r="AI121" s="33"/>
      <c r="AJ121" s="33"/>
      <c r="AK121" s="33"/>
      <c r="AL121" s="33"/>
      <c r="AM121" s="22"/>
      <c r="AN121" s="22"/>
      <c r="AO121" s="43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141"/>
      <c r="CX121" s="54"/>
      <c r="CY121" s="54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  <c r="EW121" s="33"/>
      <c r="EX121" s="33"/>
      <c r="EY121" s="33"/>
      <c r="EZ121" s="33"/>
    </row>
    <row r="122" ht="15.75" customHeight="1">
      <c r="A122" s="20" t="s">
        <v>354</v>
      </c>
      <c r="B122" s="20"/>
      <c r="C122" s="22"/>
      <c r="D122" s="22"/>
      <c r="E122" s="22"/>
      <c r="F122" s="22"/>
      <c r="G122" s="22"/>
      <c r="H122" s="22"/>
      <c r="I122" s="22"/>
      <c r="J122" s="22"/>
      <c r="K122" s="23"/>
      <c r="L122" s="23"/>
      <c r="M122" s="23"/>
      <c r="N122" s="23"/>
      <c r="O122" s="22"/>
      <c r="P122" s="24"/>
      <c r="Q122" s="24" t="str">
        <f t="shared" si="1"/>
        <v>very fine-grained, homogeneous, white marble</v>
      </c>
      <c r="R122" s="20" t="s">
        <v>188</v>
      </c>
      <c r="S122" s="20" t="s">
        <v>189</v>
      </c>
      <c r="T122" s="20" t="s">
        <v>194</v>
      </c>
      <c r="U122" s="20" t="s">
        <v>195</v>
      </c>
      <c r="V122" s="22"/>
      <c r="W122" s="20" t="s">
        <v>166</v>
      </c>
      <c r="X122" s="20">
        <v>0.4</v>
      </c>
      <c r="Y122" s="20" t="s">
        <v>196</v>
      </c>
      <c r="Z122" s="20" t="s">
        <v>184</v>
      </c>
      <c r="AA122" s="33"/>
      <c r="AB122" s="33"/>
      <c r="AC122" s="33"/>
      <c r="AD122" s="33"/>
      <c r="AE122" s="88"/>
      <c r="AF122" s="33"/>
      <c r="AG122" s="33"/>
      <c r="AH122" s="33"/>
      <c r="AI122" s="33"/>
      <c r="AJ122" s="33"/>
      <c r="AK122" s="33"/>
      <c r="AL122" s="33"/>
      <c r="AM122" s="22"/>
      <c r="AN122" s="22"/>
      <c r="AO122" s="43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142"/>
      <c r="CX122" s="54"/>
      <c r="CY122" s="54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</row>
    <row r="123" ht="15.75" customHeight="1">
      <c r="A123" s="20" t="s">
        <v>355</v>
      </c>
      <c r="B123" s="20"/>
      <c r="C123" s="22"/>
      <c r="D123" s="22"/>
      <c r="E123" s="22"/>
      <c r="F123" s="22"/>
      <c r="G123" s="22"/>
      <c r="H123" s="22"/>
      <c r="I123" s="22"/>
      <c r="J123" s="22"/>
      <c r="K123" s="23"/>
      <c r="L123" s="23"/>
      <c r="M123" s="23"/>
      <c r="N123" s="23"/>
      <c r="O123" s="22"/>
      <c r="P123" s="24"/>
      <c r="Q123" s="24" t="str">
        <f t="shared" si="1"/>
        <v>fine-grained, homogeneous, white marble</v>
      </c>
      <c r="R123" s="20" t="s">
        <v>180</v>
      </c>
      <c r="S123" s="20" t="s">
        <v>189</v>
      </c>
      <c r="T123" s="20" t="s">
        <v>194</v>
      </c>
      <c r="U123" s="20" t="s">
        <v>195</v>
      </c>
      <c r="V123" s="22"/>
      <c r="W123" s="20" t="s">
        <v>166</v>
      </c>
      <c r="X123" s="20">
        <v>1.5</v>
      </c>
      <c r="Y123" s="20" t="s">
        <v>219</v>
      </c>
      <c r="Z123" s="20" t="s">
        <v>219</v>
      </c>
      <c r="AA123" s="33"/>
      <c r="AB123" s="33"/>
      <c r="AC123" s="33"/>
      <c r="AD123" s="33"/>
      <c r="AE123" s="88"/>
      <c r="AF123" s="33"/>
      <c r="AG123" s="33"/>
      <c r="AH123" s="33"/>
      <c r="AI123" s="33"/>
      <c r="AJ123" s="33"/>
      <c r="AK123" s="33"/>
      <c r="AL123" s="33"/>
      <c r="AM123" s="22"/>
      <c r="AN123" s="22"/>
      <c r="AO123" s="43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46"/>
      <c r="CX123" s="54"/>
      <c r="CY123" s="54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25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</row>
    <row r="124" ht="15.75" customHeight="1">
      <c r="A124" s="20" t="s">
        <v>356</v>
      </c>
      <c r="B124" s="20"/>
      <c r="C124" s="22"/>
      <c r="D124" s="22"/>
      <c r="E124" s="22"/>
      <c r="F124" s="22"/>
      <c r="G124" s="22"/>
      <c r="H124" s="22"/>
      <c r="I124" s="22"/>
      <c r="J124" s="22"/>
      <c r="K124" s="23"/>
      <c r="L124" s="23"/>
      <c r="M124" s="23"/>
      <c r="N124" s="23"/>
      <c r="O124" s="22"/>
      <c r="P124" s="24"/>
      <c r="Q124" s="24" t="str">
        <f t="shared" si="1"/>
        <v>very fine-grained, homogeneous, white marble</v>
      </c>
      <c r="R124" s="20" t="s">
        <v>188</v>
      </c>
      <c r="S124" s="20" t="s">
        <v>189</v>
      </c>
      <c r="T124" s="20" t="s">
        <v>194</v>
      </c>
      <c r="U124" s="20" t="s">
        <v>195</v>
      </c>
      <c r="V124" s="22"/>
      <c r="W124" s="20" t="s">
        <v>166</v>
      </c>
      <c r="X124" s="20">
        <v>0.4</v>
      </c>
      <c r="Y124" s="20" t="s">
        <v>209</v>
      </c>
      <c r="Z124" s="20" t="s">
        <v>184</v>
      </c>
      <c r="AA124" s="33"/>
      <c r="AB124" s="33"/>
      <c r="AC124" s="33"/>
      <c r="AD124" s="33"/>
      <c r="AE124" s="88"/>
      <c r="AF124" s="33"/>
      <c r="AG124" s="33"/>
      <c r="AH124" s="33"/>
      <c r="AI124" s="33"/>
      <c r="AJ124" s="33"/>
      <c r="AK124" s="33"/>
      <c r="AL124" s="33"/>
      <c r="AM124" s="22"/>
      <c r="AN124" s="22"/>
      <c r="AO124" s="43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90"/>
      <c r="CX124" s="143"/>
      <c r="CY124" s="54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  <c r="EW124" s="33"/>
      <c r="EX124" s="33"/>
      <c r="EY124" s="33"/>
      <c r="EZ124" s="33"/>
    </row>
    <row r="125" ht="15.75" customHeight="1">
      <c r="A125" s="20" t="s">
        <v>357</v>
      </c>
      <c r="B125" s="20"/>
      <c r="C125" s="22"/>
      <c r="D125" s="22"/>
      <c r="E125" s="22"/>
      <c r="F125" s="22"/>
      <c r="G125" s="22"/>
      <c r="H125" s="22"/>
      <c r="I125" s="22"/>
      <c r="J125" s="22"/>
      <c r="K125" s="23"/>
      <c r="L125" s="23"/>
      <c r="M125" s="23"/>
      <c r="N125" s="23"/>
      <c r="O125" s="22"/>
      <c r="P125" s="24"/>
      <c r="Q125" s="24" t="str">
        <f t="shared" si="1"/>
        <v>fine-grained, homogeneous, white marble</v>
      </c>
      <c r="R125" s="20" t="s">
        <v>180</v>
      </c>
      <c r="S125" s="20" t="s">
        <v>189</v>
      </c>
      <c r="T125" s="20" t="s">
        <v>194</v>
      </c>
      <c r="U125" s="20" t="s">
        <v>195</v>
      </c>
      <c r="V125" s="22"/>
      <c r="W125" s="20" t="s">
        <v>190</v>
      </c>
      <c r="X125" s="22"/>
      <c r="Y125" s="22"/>
      <c r="Z125" s="22"/>
      <c r="AA125" s="33"/>
      <c r="AB125" s="33"/>
      <c r="AC125" s="33"/>
      <c r="AD125" s="33"/>
      <c r="AE125" s="88"/>
      <c r="AF125" s="33"/>
      <c r="AG125" s="33"/>
      <c r="AH125" s="33"/>
      <c r="AI125" s="33"/>
      <c r="AJ125" s="33"/>
      <c r="AK125" s="33"/>
      <c r="AL125" s="33"/>
      <c r="AM125" s="22"/>
      <c r="AN125" s="22"/>
      <c r="AO125" s="43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90"/>
      <c r="CX125" s="143"/>
      <c r="CY125" s="54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  <c r="EW125" s="33"/>
      <c r="EX125" s="33"/>
      <c r="EY125" s="33"/>
      <c r="EZ125" s="33"/>
    </row>
    <row r="126" ht="15.75" customHeight="1">
      <c r="A126" s="20" t="s">
        <v>358</v>
      </c>
      <c r="B126" s="20"/>
      <c r="C126" s="22"/>
      <c r="D126" s="22"/>
      <c r="E126" s="22"/>
      <c r="F126" s="22"/>
      <c r="G126" s="22"/>
      <c r="H126" s="22"/>
      <c r="I126" s="22"/>
      <c r="J126" s="22"/>
      <c r="K126" s="23"/>
      <c r="L126" s="23"/>
      <c r="M126" s="23"/>
      <c r="N126" s="23"/>
      <c r="O126" s="22"/>
      <c r="P126" s="24"/>
      <c r="Q126" s="24" t="str">
        <f t="shared" si="1"/>
        <v>fine-grained, banded, white marble</v>
      </c>
      <c r="R126" s="20" t="s">
        <v>180</v>
      </c>
      <c r="S126" s="20" t="s">
        <v>189</v>
      </c>
      <c r="T126" s="20" t="s">
        <v>182</v>
      </c>
      <c r="U126" s="20" t="s">
        <v>254</v>
      </c>
      <c r="V126" s="22"/>
      <c r="W126" s="20" t="s">
        <v>166</v>
      </c>
      <c r="X126" s="20">
        <v>0.4</v>
      </c>
      <c r="Y126" s="20" t="s">
        <v>209</v>
      </c>
      <c r="Z126" s="20" t="s">
        <v>213</v>
      </c>
      <c r="AA126" s="33"/>
      <c r="AB126" s="33"/>
      <c r="AC126" s="33"/>
      <c r="AD126" s="33"/>
      <c r="AE126" s="88"/>
      <c r="AF126" s="33"/>
      <c r="AG126" s="33"/>
      <c r="AH126" s="33"/>
      <c r="AI126" s="33"/>
      <c r="AJ126" s="33"/>
      <c r="AK126" s="33"/>
      <c r="AL126" s="33"/>
      <c r="AM126" s="22"/>
      <c r="AN126" s="22"/>
      <c r="AO126" s="43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90"/>
      <c r="CX126" s="143"/>
      <c r="CY126" s="54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  <c r="EW126" s="33"/>
      <c r="EX126" s="33"/>
      <c r="EY126" s="33"/>
      <c r="EZ126" s="33"/>
    </row>
    <row r="127" ht="15.75" customHeight="1">
      <c r="A127" s="20" t="s">
        <v>359</v>
      </c>
      <c r="B127" s="20"/>
      <c r="C127" s="22"/>
      <c r="D127" s="22"/>
      <c r="E127" s="22"/>
      <c r="F127" s="22"/>
      <c r="G127" s="22"/>
      <c r="H127" s="22"/>
      <c r="I127" s="22"/>
      <c r="J127" s="22"/>
      <c r="K127" s="23"/>
      <c r="L127" s="23"/>
      <c r="M127" s="23"/>
      <c r="N127" s="23"/>
      <c r="O127" s="22"/>
      <c r="P127" s="24"/>
      <c r="Q127" s="24" t="str">
        <f t="shared" si="1"/>
        <v>fine-grained, homogeneous, white marble</v>
      </c>
      <c r="R127" s="20" t="s">
        <v>180</v>
      </c>
      <c r="S127" s="20" t="s">
        <v>189</v>
      </c>
      <c r="T127" s="20" t="s">
        <v>194</v>
      </c>
      <c r="U127" s="20" t="s">
        <v>195</v>
      </c>
      <c r="V127" s="22"/>
      <c r="W127" s="20" t="s">
        <v>166</v>
      </c>
      <c r="X127" s="20">
        <v>3.3</v>
      </c>
      <c r="Y127" s="20" t="s">
        <v>219</v>
      </c>
      <c r="Z127" s="20" t="s">
        <v>219</v>
      </c>
      <c r="AA127" s="33"/>
      <c r="AB127" s="33"/>
      <c r="AC127" s="33"/>
      <c r="AD127" s="33"/>
      <c r="AE127" s="88"/>
      <c r="AF127" s="33"/>
      <c r="AG127" s="33"/>
      <c r="AH127" s="33"/>
      <c r="AI127" s="33"/>
      <c r="AJ127" s="33"/>
      <c r="AK127" s="33"/>
      <c r="AL127" s="33"/>
      <c r="AM127" s="22"/>
      <c r="AN127" s="22"/>
      <c r="AO127" s="43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90"/>
      <c r="CX127" s="143"/>
      <c r="CY127" s="54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  <c r="EE127" s="33"/>
      <c r="EF127" s="33"/>
      <c r="EG127" s="33"/>
      <c r="EH127" s="33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  <c r="ET127" s="33"/>
      <c r="EU127" s="33"/>
      <c r="EV127" s="33"/>
      <c r="EW127" s="33"/>
      <c r="EX127" s="33"/>
      <c r="EY127" s="33"/>
      <c r="EZ127" s="33"/>
    </row>
    <row r="128" ht="15.75" customHeight="1">
      <c r="A128" s="20" t="s">
        <v>360</v>
      </c>
      <c r="B128" s="20"/>
      <c r="C128" s="22"/>
      <c r="D128" s="22"/>
      <c r="E128" s="22"/>
      <c r="F128" s="22"/>
      <c r="G128" s="22"/>
      <c r="H128" s="22"/>
      <c r="I128" s="22"/>
      <c r="J128" s="22"/>
      <c r="K128" s="23"/>
      <c r="L128" s="23"/>
      <c r="M128" s="23"/>
      <c r="N128" s="23"/>
      <c r="O128" s="22"/>
      <c r="P128" s="24"/>
      <c r="Q128" s="24" t="str">
        <f t="shared" si="1"/>
        <v>fine-grained, homogeneous, white marble</v>
      </c>
      <c r="R128" s="20" t="s">
        <v>180</v>
      </c>
      <c r="S128" s="20" t="s">
        <v>189</v>
      </c>
      <c r="T128" s="20" t="s">
        <v>194</v>
      </c>
      <c r="U128" s="20" t="s">
        <v>195</v>
      </c>
      <c r="V128" s="22"/>
      <c r="W128" s="20" t="s">
        <v>166</v>
      </c>
      <c r="X128" s="20">
        <v>0.5</v>
      </c>
      <c r="Y128" s="20" t="s">
        <v>196</v>
      </c>
      <c r="Z128" s="20" t="s">
        <v>184</v>
      </c>
      <c r="AA128" s="33"/>
      <c r="AB128" s="33"/>
      <c r="AC128" s="33"/>
      <c r="AD128" s="33"/>
      <c r="AE128" s="88"/>
      <c r="AF128" s="33"/>
      <c r="AG128" s="33"/>
      <c r="AH128" s="33"/>
      <c r="AI128" s="33"/>
      <c r="AJ128" s="33"/>
      <c r="AK128" s="33"/>
      <c r="AL128" s="33"/>
      <c r="AM128" s="22"/>
      <c r="AN128" s="22"/>
      <c r="AO128" s="43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90"/>
      <c r="CX128" s="143"/>
      <c r="CY128" s="54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  <c r="DM128" s="33"/>
      <c r="DN128" s="33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  <c r="ED128" s="33"/>
      <c r="EE128" s="33"/>
      <c r="EF128" s="33"/>
      <c r="EG128" s="33"/>
      <c r="EH128" s="33"/>
      <c r="EI128" s="33"/>
      <c r="EJ128" s="33"/>
      <c r="EK128" s="33"/>
      <c r="EL128" s="33"/>
      <c r="EM128" s="33"/>
      <c r="EN128" s="33"/>
      <c r="EO128" s="33"/>
      <c r="EP128" s="33"/>
      <c r="EQ128" s="33"/>
      <c r="ER128" s="33"/>
      <c r="ES128" s="33"/>
      <c r="ET128" s="33"/>
      <c r="EU128" s="33"/>
      <c r="EV128" s="33"/>
      <c r="EW128" s="33"/>
      <c r="EX128" s="33"/>
      <c r="EY128" s="33"/>
      <c r="EZ128" s="33"/>
    </row>
    <row r="129" ht="15.75" customHeight="1">
      <c r="A129" s="20" t="s">
        <v>361</v>
      </c>
      <c r="B129" s="20"/>
      <c r="C129" s="22"/>
      <c r="D129" s="22"/>
      <c r="E129" s="22"/>
      <c r="F129" s="22"/>
      <c r="G129" s="22"/>
      <c r="H129" s="22"/>
      <c r="I129" s="22"/>
      <c r="J129" s="22"/>
      <c r="K129" s="23"/>
      <c r="L129" s="23"/>
      <c r="M129" s="23"/>
      <c r="N129" s="23"/>
      <c r="O129" s="22"/>
      <c r="P129" s="24"/>
      <c r="Q129" s="24" t="str">
        <f t="shared" si="1"/>
        <v>fine-grained, banded, white marble</v>
      </c>
      <c r="R129" s="20" t="s">
        <v>180</v>
      </c>
      <c r="S129" s="20" t="s">
        <v>189</v>
      </c>
      <c r="T129" s="20" t="s">
        <v>182</v>
      </c>
      <c r="U129" s="20" t="s">
        <v>181</v>
      </c>
      <c r="V129" s="22"/>
      <c r="W129" s="20" t="s">
        <v>166</v>
      </c>
      <c r="X129" s="20">
        <v>2.0</v>
      </c>
      <c r="Y129" s="20" t="s">
        <v>191</v>
      </c>
      <c r="Z129" s="20" t="s">
        <v>184</v>
      </c>
      <c r="AA129" s="33"/>
      <c r="AB129" s="33"/>
      <c r="AC129" s="33"/>
      <c r="AD129" s="33"/>
      <c r="AE129" s="88"/>
      <c r="AF129" s="33"/>
      <c r="AG129" s="33"/>
      <c r="AH129" s="33"/>
      <c r="AI129" s="33"/>
      <c r="AJ129" s="33"/>
      <c r="AK129" s="33"/>
      <c r="AL129" s="33"/>
      <c r="AM129" s="22"/>
      <c r="AN129" s="22"/>
      <c r="AO129" s="43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  <c r="CW129" s="90"/>
      <c r="CX129" s="143"/>
      <c r="CY129" s="54"/>
      <c r="CZ129" s="33"/>
      <c r="DA129" s="33"/>
      <c r="DB129" s="33"/>
      <c r="DC129" s="33"/>
      <c r="DD129" s="33"/>
      <c r="DE129" s="33"/>
      <c r="DF129" s="33"/>
      <c r="DG129" s="33"/>
      <c r="DH129" s="33"/>
      <c r="DI129" s="33"/>
      <c r="DJ129" s="33"/>
      <c r="DK129" s="33"/>
      <c r="DL129" s="33"/>
      <c r="DM129" s="33"/>
      <c r="DN129" s="33"/>
      <c r="DO129" s="33"/>
      <c r="DP129" s="33"/>
      <c r="DQ129" s="33"/>
      <c r="DR129" s="33"/>
      <c r="DS129" s="33"/>
      <c r="DT129" s="33"/>
      <c r="DU129" s="33"/>
      <c r="DV129" s="33"/>
      <c r="DW129" s="33"/>
      <c r="DX129" s="33"/>
      <c r="DY129" s="33"/>
      <c r="DZ129" s="33"/>
      <c r="EA129" s="33"/>
      <c r="EB129" s="33"/>
      <c r="EC129" s="33"/>
      <c r="ED129" s="33"/>
      <c r="EE129" s="33"/>
      <c r="EF129" s="33"/>
      <c r="EG129" s="33"/>
      <c r="EH129" s="33"/>
      <c r="EI129" s="33"/>
      <c r="EJ129" s="33"/>
      <c r="EK129" s="33"/>
      <c r="EL129" s="33"/>
      <c r="EM129" s="33"/>
      <c r="EN129" s="33"/>
      <c r="EO129" s="33"/>
      <c r="EP129" s="33"/>
      <c r="EQ129" s="33"/>
      <c r="ER129" s="33"/>
      <c r="ES129" s="33"/>
      <c r="ET129" s="33"/>
      <c r="EU129" s="33"/>
      <c r="EV129" s="33"/>
      <c r="EW129" s="33"/>
      <c r="EX129" s="33"/>
      <c r="EY129" s="33"/>
      <c r="EZ129" s="33"/>
    </row>
    <row r="130" ht="15.75" customHeight="1">
      <c r="A130" s="20" t="s">
        <v>362</v>
      </c>
      <c r="B130" s="20"/>
      <c r="C130" s="22"/>
      <c r="D130" s="22"/>
      <c r="E130" s="22"/>
      <c r="F130" s="22"/>
      <c r="G130" s="22"/>
      <c r="H130" s="22"/>
      <c r="I130" s="22"/>
      <c r="J130" s="22"/>
      <c r="K130" s="23"/>
      <c r="L130" s="23"/>
      <c r="M130" s="23"/>
      <c r="N130" s="23"/>
      <c r="O130" s="22"/>
      <c r="P130" s="24"/>
      <c r="Q130" s="24" t="str">
        <f t="shared" si="1"/>
        <v>fine-grained, homogeneous, white marble</v>
      </c>
      <c r="R130" s="20" t="s">
        <v>180</v>
      </c>
      <c r="S130" s="20" t="s">
        <v>189</v>
      </c>
      <c r="T130" s="20" t="s">
        <v>194</v>
      </c>
      <c r="U130" s="20" t="s">
        <v>195</v>
      </c>
      <c r="V130" s="22"/>
      <c r="W130" s="20" t="s">
        <v>166</v>
      </c>
      <c r="X130" s="20" t="s">
        <v>219</v>
      </c>
      <c r="Y130" s="20" t="s">
        <v>219</v>
      </c>
      <c r="Z130" s="20" t="s">
        <v>219</v>
      </c>
      <c r="AA130" s="33"/>
      <c r="AB130" s="33"/>
      <c r="AC130" s="33"/>
      <c r="AD130" s="33"/>
      <c r="AE130" s="88"/>
      <c r="AF130" s="33"/>
      <c r="AG130" s="33"/>
      <c r="AH130" s="33"/>
      <c r="AI130" s="33"/>
      <c r="AJ130" s="33"/>
      <c r="AK130" s="33"/>
      <c r="AL130" s="33"/>
      <c r="AM130" s="22"/>
      <c r="AN130" s="22"/>
      <c r="AO130" s="43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33"/>
      <c r="CF130" s="33"/>
      <c r="CG130" s="33"/>
      <c r="CH130" s="33"/>
      <c r="CI130" s="33"/>
      <c r="CJ130" s="33"/>
      <c r="CK130" s="33"/>
      <c r="CL130" s="33"/>
      <c r="CM130" s="33"/>
      <c r="CN130" s="33"/>
      <c r="CO130" s="33"/>
      <c r="CP130" s="33"/>
      <c r="CQ130" s="33"/>
      <c r="CR130" s="33"/>
      <c r="CS130" s="33"/>
      <c r="CT130" s="33"/>
      <c r="CU130" s="33"/>
      <c r="CV130" s="33"/>
      <c r="CW130" s="90"/>
      <c r="CX130" s="143"/>
      <c r="CY130" s="54"/>
      <c r="CZ130" s="33"/>
      <c r="DA130" s="33"/>
      <c r="DB130" s="33"/>
      <c r="DC130" s="33"/>
      <c r="DD130" s="33"/>
      <c r="DE130" s="33"/>
      <c r="DF130" s="33"/>
      <c r="DG130" s="33"/>
      <c r="DH130" s="33"/>
      <c r="DI130" s="33"/>
      <c r="DJ130" s="33"/>
      <c r="DK130" s="33"/>
      <c r="DL130" s="33"/>
      <c r="DM130" s="33"/>
      <c r="DN130" s="33"/>
      <c r="DO130" s="33"/>
      <c r="DP130" s="33"/>
      <c r="DQ130" s="33"/>
      <c r="DR130" s="33"/>
      <c r="DS130" s="33"/>
      <c r="DT130" s="33"/>
      <c r="DU130" s="33"/>
      <c r="DV130" s="33"/>
      <c r="DW130" s="33"/>
      <c r="DX130" s="33"/>
      <c r="DY130" s="33"/>
      <c r="DZ130" s="33"/>
      <c r="EA130" s="33"/>
      <c r="EB130" s="33"/>
      <c r="EC130" s="33"/>
      <c r="ED130" s="33"/>
      <c r="EE130" s="33"/>
      <c r="EF130" s="33"/>
      <c r="EG130" s="33"/>
      <c r="EH130" s="33"/>
      <c r="EI130" s="33"/>
      <c r="EJ130" s="33"/>
      <c r="EK130" s="33"/>
      <c r="EL130" s="33"/>
      <c r="EM130" s="33"/>
      <c r="EN130" s="33"/>
      <c r="EO130" s="33"/>
      <c r="EP130" s="33"/>
      <c r="EQ130" s="33"/>
      <c r="ER130" s="33"/>
      <c r="ES130" s="33"/>
      <c r="ET130" s="33"/>
      <c r="EU130" s="33"/>
      <c r="EV130" s="33"/>
      <c r="EW130" s="33"/>
      <c r="EX130" s="33"/>
      <c r="EY130" s="33"/>
      <c r="EZ130" s="33"/>
    </row>
    <row r="131" ht="15.75" customHeight="1">
      <c r="A131" s="20" t="s">
        <v>363</v>
      </c>
      <c r="B131" s="20"/>
      <c r="C131" s="22"/>
      <c r="D131" s="22"/>
      <c r="E131" s="22"/>
      <c r="F131" s="22"/>
      <c r="G131" s="22"/>
      <c r="H131" s="22"/>
      <c r="I131" s="22"/>
      <c r="J131" s="22"/>
      <c r="K131" s="23"/>
      <c r="L131" s="23"/>
      <c r="M131" s="23"/>
      <c r="N131" s="23"/>
      <c r="O131" s="22"/>
      <c r="P131" s="24"/>
      <c r="Q131" s="24" t="str">
        <f t="shared" si="1"/>
        <v>medium-grained, banded, white marble</v>
      </c>
      <c r="R131" s="20" t="s">
        <v>205</v>
      </c>
      <c r="S131" s="20" t="s">
        <v>189</v>
      </c>
      <c r="T131" s="20" t="s">
        <v>182</v>
      </c>
      <c r="U131" s="20" t="s">
        <v>181</v>
      </c>
      <c r="V131" s="22"/>
      <c r="W131" s="20" t="s">
        <v>166</v>
      </c>
      <c r="X131" s="20">
        <v>3.0</v>
      </c>
      <c r="Y131" s="20" t="s">
        <v>191</v>
      </c>
      <c r="Z131" s="20" t="s">
        <v>198</v>
      </c>
      <c r="AA131" s="33"/>
      <c r="AB131" s="33"/>
      <c r="AC131" s="33"/>
      <c r="AD131" s="33"/>
      <c r="AE131" s="88"/>
      <c r="AF131" s="33"/>
      <c r="AG131" s="33"/>
      <c r="AH131" s="33"/>
      <c r="AI131" s="33"/>
      <c r="AJ131" s="33"/>
      <c r="AK131" s="33"/>
      <c r="AL131" s="33"/>
      <c r="AM131" s="22"/>
      <c r="AN131" s="22"/>
      <c r="AO131" s="43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90"/>
      <c r="CX131" s="143"/>
      <c r="CY131" s="54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  <c r="EE131" s="33"/>
      <c r="EF131" s="33"/>
      <c r="EG131" s="33"/>
      <c r="EH131" s="33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  <c r="ET131" s="33"/>
      <c r="EU131" s="33"/>
      <c r="EV131" s="33"/>
      <c r="EW131" s="33"/>
      <c r="EX131" s="33"/>
      <c r="EY131" s="33"/>
      <c r="EZ131" s="33"/>
    </row>
    <row r="132" ht="15.75" customHeight="1">
      <c r="A132" s="20" t="s">
        <v>364</v>
      </c>
      <c r="B132" s="20"/>
      <c r="C132" s="22"/>
      <c r="D132" s="22"/>
      <c r="E132" s="22"/>
      <c r="F132" s="22"/>
      <c r="G132" s="22"/>
      <c r="H132" s="22"/>
      <c r="I132" s="22"/>
      <c r="J132" s="22"/>
      <c r="K132" s="23"/>
      <c r="L132" s="23"/>
      <c r="M132" s="23"/>
      <c r="N132" s="23"/>
      <c r="O132" s="22"/>
      <c r="P132" s="24"/>
      <c r="Q132" s="24" t="str">
        <f t="shared" si="1"/>
        <v>medium-grained, homogeneous, white marble</v>
      </c>
      <c r="R132" s="20" t="s">
        <v>205</v>
      </c>
      <c r="S132" s="20" t="s">
        <v>189</v>
      </c>
      <c r="T132" s="20" t="s">
        <v>194</v>
      </c>
      <c r="U132" s="20" t="s">
        <v>195</v>
      </c>
      <c r="V132" s="22"/>
      <c r="W132" s="20" t="s">
        <v>166</v>
      </c>
      <c r="X132" s="20">
        <v>5.6</v>
      </c>
      <c r="Y132" s="20" t="s">
        <v>191</v>
      </c>
      <c r="Z132" s="20" t="s">
        <v>184</v>
      </c>
      <c r="AA132" s="33"/>
      <c r="AB132" s="33"/>
      <c r="AC132" s="33"/>
      <c r="AD132" s="33"/>
      <c r="AE132" s="88"/>
      <c r="AF132" s="33"/>
      <c r="AG132" s="33"/>
      <c r="AH132" s="33"/>
      <c r="AI132" s="33"/>
      <c r="AJ132" s="33"/>
      <c r="AK132" s="33"/>
      <c r="AL132" s="33"/>
      <c r="AM132" s="22"/>
      <c r="AN132" s="22"/>
      <c r="AO132" s="43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90"/>
      <c r="CX132" s="143"/>
      <c r="CY132" s="54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</row>
    <row r="133" ht="15.75" customHeight="1">
      <c r="A133" s="20" t="s">
        <v>365</v>
      </c>
      <c r="B133" s="20"/>
      <c r="C133" s="22"/>
      <c r="D133" s="22"/>
      <c r="E133" s="22"/>
      <c r="F133" s="22"/>
      <c r="G133" s="22"/>
      <c r="H133" s="22"/>
      <c r="I133" s="22"/>
      <c r="J133" s="22"/>
      <c r="K133" s="23"/>
      <c r="L133" s="23"/>
      <c r="M133" s="23"/>
      <c r="N133" s="23"/>
      <c r="O133" s="22"/>
      <c r="P133" s="24"/>
      <c r="Q133" s="24" t="str">
        <f t="shared" si="1"/>
        <v>fine-grained, banded, white marble</v>
      </c>
      <c r="R133" s="20" t="s">
        <v>180</v>
      </c>
      <c r="S133" s="20" t="s">
        <v>189</v>
      </c>
      <c r="T133" s="20" t="s">
        <v>182</v>
      </c>
      <c r="U133" s="20" t="s">
        <v>181</v>
      </c>
      <c r="V133" s="22"/>
      <c r="W133" s="20" t="s">
        <v>166</v>
      </c>
      <c r="X133" s="20">
        <v>1.7</v>
      </c>
      <c r="Y133" s="20" t="s">
        <v>191</v>
      </c>
      <c r="Z133" s="20" t="s">
        <v>198</v>
      </c>
      <c r="AA133" s="33"/>
      <c r="AB133" s="33"/>
      <c r="AC133" s="33"/>
      <c r="AD133" s="33"/>
      <c r="AE133" s="88"/>
      <c r="AF133" s="33"/>
      <c r="AG133" s="33"/>
      <c r="AH133" s="33"/>
      <c r="AI133" s="33"/>
      <c r="AJ133" s="33"/>
      <c r="AK133" s="33"/>
      <c r="AL133" s="33"/>
      <c r="AM133" s="22"/>
      <c r="AN133" s="22"/>
      <c r="AO133" s="43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90"/>
      <c r="CX133" s="143"/>
      <c r="CY133" s="54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  <c r="EW133" s="33"/>
      <c r="EX133" s="33"/>
      <c r="EY133" s="33"/>
      <c r="EZ133" s="33"/>
    </row>
    <row r="134" ht="15.75" customHeight="1">
      <c r="A134" s="20" t="s">
        <v>366</v>
      </c>
      <c r="B134" s="20"/>
      <c r="C134" s="22"/>
      <c r="D134" s="22"/>
      <c r="E134" s="22"/>
      <c r="F134" s="22"/>
      <c r="G134" s="22"/>
      <c r="H134" s="22"/>
      <c r="I134" s="22"/>
      <c r="J134" s="22"/>
      <c r="K134" s="23"/>
      <c r="L134" s="23"/>
      <c r="M134" s="23"/>
      <c r="N134" s="23"/>
      <c r="O134" s="22"/>
      <c r="P134" s="24"/>
      <c r="Q134" s="24" t="str">
        <f t="shared" si="1"/>
        <v>medium-grained, homogeneous, grey marble</v>
      </c>
      <c r="R134" s="20" t="s">
        <v>205</v>
      </c>
      <c r="S134" s="20" t="s">
        <v>181</v>
      </c>
      <c r="T134" s="20" t="s">
        <v>194</v>
      </c>
      <c r="U134" s="20" t="s">
        <v>195</v>
      </c>
      <c r="V134" s="22"/>
      <c r="W134" s="20" t="s">
        <v>166</v>
      </c>
      <c r="X134" s="20">
        <v>1.0</v>
      </c>
      <c r="Y134" s="20" t="s">
        <v>196</v>
      </c>
      <c r="Z134" s="20" t="s">
        <v>184</v>
      </c>
      <c r="AA134" s="33"/>
      <c r="AB134" s="33"/>
      <c r="AC134" s="33"/>
      <c r="AD134" s="33"/>
      <c r="AE134" s="88"/>
      <c r="AF134" s="33"/>
      <c r="AG134" s="33"/>
      <c r="AH134" s="33"/>
      <c r="AI134" s="33"/>
      <c r="AJ134" s="33"/>
      <c r="AK134" s="33"/>
      <c r="AL134" s="33"/>
      <c r="AM134" s="22"/>
      <c r="AN134" s="22"/>
      <c r="AO134" s="43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90"/>
      <c r="CX134" s="141"/>
      <c r="CY134" s="142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  <c r="ET134" s="33"/>
      <c r="EU134" s="33"/>
      <c r="EV134" s="33"/>
      <c r="EW134" s="33"/>
      <c r="EX134" s="33"/>
      <c r="EY134" s="33"/>
      <c r="EZ134" s="33"/>
    </row>
    <row r="135" ht="15.75" customHeight="1">
      <c r="A135" s="20" t="s">
        <v>367</v>
      </c>
      <c r="B135" s="20"/>
      <c r="C135" s="22"/>
      <c r="D135" s="22"/>
      <c r="E135" s="22"/>
      <c r="F135" s="22"/>
      <c r="G135" s="22"/>
      <c r="H135" s="22"/>
      <c r="I135" s="22"/>
      <c r="J135" s="22"/>
      <c r="K135" s="48" t="s">
        <v>368</v>
      </c>
      <c r="L135" s="23"/>
      <c r="M135" s="62"/>
      <c r="N135" s="23"/>
      <c r="O135" s="22" t="s">
        <v>164</v>
      </c>
      <c r="P135" s="24"/>
      <c r="Q135" s="24" t="str">
        <f t="shared" si="1"/>
        <v>fine-grained, veined, white marble</v>
      </c>
      <c r="R135" s="20" t="s">
        <v>180</v>
      </c>
      <c r="S135" s="20" t="s">
        <v>189</v>
      </c>
      <c r="T135" s="20" t="s">
        <v>206</v>
      </c>
      <c r="U135" s="20" t="s">
        <v>254</v>
      </c>
      <c r="V135" s="20" t="s">
        <v>190</v>
      </c>
      <c r="W135" s="20" t="s">
        <v>166</v>
      </c>
      <c r="X135" s="20">
        <v>1.3</v>
      </c>
      <c r="Y135" s="20" t="s">
        <v>209</v>
      </c>
      <c r="Z135" s="20" t="s">
        <v>213</v>
      </c>
      <c r="AA135" s="33"/>
      <c r="AB135" s="50" t="s">
        <v>166</v>
      </c>
      <c r="AC135" s="50">
        <v>2.2</v>
      </c>
      <c r="AD135" s="50" t="s">
        <v>183</v>
      </c>
      <c r="AE135" s="36" t="s">
        <v>245</v>
      </c>
      <c r="AF135" s="50" t="s">
        <v>166</v>
      </c>
      <c r="AG135" s="50" t="s">
        <v>166</v>
      </c>
      <c r="AH135" s="33" t="s">
        <v>164</v>
      </c>
      <c r="AI135" s="33" t="s">
        <v>164</v>
      </c>
      <c r="AJ135" s="33" t="s">
        <v>164</v>
      </c>
      <c r="AK135" s="33" t="s">
        <v>164</v>
      </c>
      <c r="AL135" s="33" t="s">
        <v>164</v>
      </c>
      <c r="AM135" s="22"/>
      <c r="AN135" s="22"/>
      <c r="AO135" s="43">
        <f t="shared" ref="AO135:AO136" si="8">SUM(AP135,AQ135,AR135)</f>
        <v>0</v>
      </c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 t="s">
        <v>164</v>
      </c>
      <c r="BF135" s="22" t="s">
        <v>164</v>
      </c>
      <c r="BG135" s="22" t="s">
        <v>164</v>
      </c>
      <c r="BH135" s="22" t="s">
        <v>164</v>
      </c>
      <c r="BI135" s="22"/>
      <c r="BJ135" s="22" t="s">
        <v>164</v>
      </c>
      <c r="BK135" s="22"/>
      <c r="BL135" s="22" t="s">
        <v>164</v>
      </c>
      <c r="BM135" s="22"/>
      <c r="BN135" s="22" t="s">
        <v>164</v>
      </c>
      <c r="BO135" s="22"/>
      <c r="BP135" s="22"/>
      <c r="BQ135" s="22"/>
      <c r="BR135" s="22" t="s">
        <v>164</v>
      </c>
      <c r="BS135" s="22"/>
      <c r="BT135" s="22" t="s">
        <v>164</v>
      </c>
      <c r="BU135" s="22"/>
      <c r="BV135" s="22"/>
      <c r="BW135" s="22"/>
      <c r="BX135" s="22" t="s">
        <v>164</v>
      </c>
      <c r="BY135" s="22"/>
      <c r="BZ135" s="22" t="s">
        <v>164</v>
      </c>
      <c r="CA135" s="22"/>
      <c r="CB135" s="22" t="s">
        <v>164</v>
      </c>
      <c r="CC135" s="22"/>
      <c r="CD135" s="22" t="s">
        <v>164</v>
      </c>
      <c r="CE135" s="33" t="s">
        <v>164</v>
      </c>
      <c r="CF135" s="33" t="s">
        <v>164</v>
      </c>
      <c r="CG135" s="33" t="s">
        <v>164</v>
      </c>
      <c r="CH135" s="33" t="s">
        <v>164</v>
      </c>
      <c r="CI135" s="33" t="s">
        <v>164</v>
      </c>
      <c r="CJ135" s="33" t="s">
        <v>164</v>
      </c>
      <c r="CK135" s="33" t="s">
        <v>164</v>
      </c>
      <c r="CL135" s="33" t="s">
        <v>164</v>
      </c>
      <c r="CM135" s="33" t="s">
        <v>164</v>
      </c>
      <c r="CN135" s="33" t="s">
        <v>164</v>
      </c>
      <c r="CO135" s="33" t="s">
        <v>164</v>
      </c>
      <c r="CP135" s="33" t="s">
        <v>164</v>
      </c>
      <c r="CQ135" s="33" t="s">
        <v>164</v>
      </c>
      <c r="CR135" s="33" t="s">
        <v>164</v>
      </c>
      <c r="CS135" s="33" t="s">
        <v>164</v>
      </c>
      <c r="CT135" s="33" t="s">
        <v>164</v>
      </c>
      <c r="CU135" s="33" t="s">
        <v>164</v>
      </c>
      <c r="CV135" s="33" t="s">
        <v>164</v>
      </c>
      <c r="CW135" s="144" t="s">
        <v>166</v>
      </c>
      <c r="CX135" s="117">
        <v>2.5</v>
      </c>
      <c r="CY135" s="38">
        <v>-3.97</v>
      </c>
      <c r="CZ135" s="50" t="s">
        <v>166</v>
      </c>
      <c r="DA135" s="33" t="s">
        <v>164</v>
      </c>
      <c r="DB135" s="33" t="s">
        <v>164</v>
      </c>
      <c r="DC135" s="33" t="s">
        <v>164</v>
      </c>
      <c r="DD135" s="33" t="s">
        <v>164</v>
      </c>
      <c r="DE135" s="33" t="s">
        <v>164</v>
      </c>
      <c r="DF135" s="33" t="s">
        <v>164</v>
      </c>
      <c r="DG135" s="33" t="s">
        <v>164</v>
      </c>
      <c r="DH135" s="33" t="s">
        <v>164</v>
      </c>
      <c r="DI135" s="33" t="s">
        <v>164</v>
      </c>
      <c r="DJ135" s="50" t="s">
        <v>166</v>
      </c>
      <c r="DK135" s="52">
        <v>0.55</v>
      </c>
      <c r="DL135" s="52">
        <v>5.8</v>
      </c>
      <c r="DM135" s="52">
        <v>60.02</v>
      </c>
      <c r="DN135" s="52">
        <v>3016.59</v>
      </c>
      <c r="DO135" s="52">
        <v>0.116127979</v>
      </c>
      <c r="DP135" s="52">
        <v>427.71</v>
      </c>
      <c r="DQ135" s="52">
        <v>1.38</v>
      </c>
      <c r="DR135" s="52">
        <v>3.83</v>
      </c>
      <c r="DS135" s="52">
        <v>1.68</v>
      </c>
      <c r="DT135" s="52">
        <v>5.13</v>
      </c>
      <c r="DU135" s="52">
        <v>183.53</v>
      </c>
      <c r="DV135" s="52">
        <v>0.11</v>
      </c>
      <c r="DW135" s="52">
        <v>2.61</v>
      </c>
      <c r="DX135" s="52">
        <v>1.14</v>
      </c>
      <c r="DY135" s="52">
        <v>8.05</v>
      </c>
      <c r="DZ135" s="52">
        <v>1.38</v>
      </c>
      <c r="EA135" s="52">
        <v>0.3</v>
      </c>
      <c r="EB135" s="52">
        <v>0.18</v>
      </c>
      <c r="EC135" s="52">
        <v>252.45</v>
      </c>
      <c r="ED135" s="52">
        <v>2.42</v>
      </c>
      <c r="EE135" s="52">
        <v>0.62</v>
      </c>
      <c r="EF135" s="52">
        <v>0.18</v>
      </c>
      <c r="EG135" s="52">
        <v>0.01</v>
      </c>
      <c r="EH135" s="52">
        <v>0.06</v>
      </c>
      <c r="EI135" s="52">
        <v>0.13</v>
      </c>
      <c r="EJ135" s="52">
        <v>0.03</v>
      </c>
      <c r="EK135" s="52">
        <v>61.82</v>
      </c>
      <c r="EL135" s="52">
        <v>1.12</v>
      </c>
      <c r="EM135" s="52">
        <v>0.75</v>
      </c>
      <c r="EN135" s="52">
        <v>0.96</v>
      </c>
      <c r="EO135" s="52">
        <v>0.21</v>
      </c>
      <c r="EP135" s="52">
        <v>0.04</v>
      </c>
      <c r="EQ135" s="52">
        <v>0.17</v>
      </c>
      <c r="ER135" s="52">
        <v>0.22</v>
      </c>
      <c r="ES135" s="52">
        <v>0.16</v>
      </c>
      <c r="ET135" s="52">
        <v>0.051387005</v>
      </c>
      <c r="EU135" s="52">
        <v>0.03</v>
      </c>
      <c r="EV135" s="52">
        <v>7.2</v>
      </c>
      <c r="EW135" s="52">
        <v>17.97</v>
      </c>
      <c r="EX135" s="52">
        <v>151.53</v>
      </c>
      <c r="EY135" s="52">
        <v>0.15</v>
      </c>
      <c r="EZ135" s="40"/>
      <c r="FA135" s="33"/>
      <c r="FB135" s="33"/>
      <c r="FC135" s="33"/>
      <c r="FD135" s="33"/>
      <c r="FE135" s="33"/>
      <c r="FF135" s="33"/>
      <c r="FG135" s="33"/>
      <c r="FH135" s="33"/>
      <c r="FI135" s="33"/>
      <c r="FJ135" s="33"/>
      <c r="FK135" s="33"/>
      <c r="FL135" s="33"/>
      <c r="FM135" s="33"/>
      <c r="FN135" s="33"/>
      <c r="FO135" s="33"/>
      <c r="FP135" s="33"/>
      <c r="FQ135" s="33"/>
      <c r="FR135" s="33"/>
      <c r="FS135" s="33"/>
      <c r="FT135" s="33"/>
      <c r="FU135" s="33"/>
      <c r="FV135" s="33"/>
      <c r="FW135" s="33"/>
      <c r="FX135" s="33"/>
      <c r="FY135" s="33"/>
      <c r="FZ135" s="33"/>
      <c r="GA135" s="33"/>
    </row>
    <row r="136" ht="15.75" customHeight="1">
      <c r="A136" s="20" t="s">
        <v>367</v>
      </c>
      <c r="B136" s="20"/>
      <c r="C136" s="22"/>
      <c r="D136" s="22"/>
      <c r="E136" s="22"/>
      <c r="F136" s="22"/>
      <c r="G136" s="22"/>
      <c r="H136" s="22"/>
      <c r="I136" s="22"/>
      <c r="J136" s="22"/>
      <c r="K136" s="48" t="s">
        <v>368</v>
      </c>
      <c r="L136" s="23"/>
      <c r="M136" s="62"/>
      <c r="N136" s="23"/>
      <c r="O136" s="22" t="s">
        <v>164</v>
      </c>
      <c r="P136" s="24"/>
      <c r="Q136" s="24" t="str">
        <f t="shared" si="1"/>
        <v>fine-grained, homogeneous, dark grey marble</v>
      </c>
      <c r="R136" s="20" t="s">
        <v>180</v>
      </c>
      <c r="S136" s="20" t="s">
        <v>254</v>
      </c>
      <c r="T136" s="20" t="s">
        <v>194</v>
      </c>
      <c r="U136" s="20" t="s">
        <v>195</v>
      </c>
      <c r="V136" s="20" t="s">
        <v>190</v>
      </c>
      <c r="W136" s="20" t="s">
        <v>166</v>
      </c>
      <c r="X136" s="20">
        <v>1.3</v>
      </c>
      <c r="Y136" s="20" t="s">
        <v>209</v>
      </c>
      <c r="Z136" s="20" t="s">
        <v>213</v>
      </c>
      <c r="AA136" s="33"/>
      <c r="AB136" s="50" t="s">
        <v>166</v>
      </c>
      <c r="AC136" s="50">
        <v>2.2</v>
      </c>
      <c r="AD136" s="50" t="s">
        <v>183</v>
      </c>
      <c r="AE136" s="36" t="s">
        <v>245</v>
      </c>
      <c r="AF136" s="50" t="s">
        <v>166</v>
      </c>
      <c r="AG136" s="50" t="s">
        <v>166</v>
      </c>
      <c r="AH136" s="33" t="s">
        <v>164</v>
      </c>
      <c r="AI136" s="33" t="s">
        <v>164</v>
      </c>
      <c r="AJ136" s="33" t="s">
        <v>164</v>
      </c>
      <c r="AK136" s="33" t="s">
        <v>164</v>
      </c>
      <c r="AL136" s="33" t="s">
        <v>164</v>
      </c>
      <c r="AM136" s="22"/>
      <c r="AN136" s="22"/>
      <c r="AO136" s="43">
        <f t="shared" si="8"/>
        <v>0</v>
      </c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 t="s">
        <v>164</v>
      </c>
      <c r="BF136" s="22" t="s">
        <v>164</v>
      </c>
      <c r="BG136" s="22" t="s">
        <v>164</v>
      </c>
      <c r="BH136" s="22" t="s">
        <v>164</v>
      </c>
      <c r="BI136" s="22"/>
      <c r="BJ136" s="22" t="s">
        <v>164</v>
      </c>
      <c r="BK136" s="22"/>
      <c r="BL136" s="22" t="s">
        <v>164</v>
      </c>
      <c r="BM136" s="22"/>
      <c r="BN136" s="22" t="s">
        <v>164</v>
      </c>
      <c r="BO136" s="22"/>
      <c r="BP136" s="22"/>
      <c r="BQ136" s="22"/>
      <c r="BR136" s="22" t="s">
        <v>164</v>
      </c>
      <c r="BS136" s="22"/>
      <c r="BT136" s="22" t="s">
        <v>164</v>
      </c>
      <c r="BU136" s="22"/>
      <c r="BV136" s="22"/>
      <c r="BW136" s="22"/>
      <c r="BX136" s="22" t="s">
        <v>164</v>
      </c>
      <c r="BY136" s="22"/>
      <c r="BZ136" s="22" t="s">
        <v>164</v>
      </c>
      <c r="CA136" s="22"/>
      <c r="CB136" s="22" t="s">
        <v>164</v>
      </c>
      <c r="CC136" s="22"/>
      <c r="CD136" s="22" t="s">
        <v>164</v>
      </c>
      <c r="CE136" s="33" t="s">
        <v>164</v>
      </c>
      <c r="CF136" s="33" t="s">
        <v>164</v>
      </c>
      <c r="CG136" s="33" t="s">
        <v>164</v>
      </c>
      <c r="CH136" s="33" t="s">
        <v>164</v>
      </c>
      <c r="CI136" s="33" t="s">
        <v>164</v>
      </c>
      <c r="CJ136" s="33" t="s">
        <v>164</v>
      </c>
      <c r="CK136" s="33" t="s">
        <v>164</v>
      </c>
      <c r="CL136" s="33" t="s">
        <v>164</v>
      </c>
      <c r="CM136" s="33" t="s">
        <v>164</v>
      </c>
      <c r="CN136" s="33" t="s">
        <v>164</v>
      </c>
      <c r="CO136" s="33" t="s">
        <v>164</v>
      </c>
      <c r="CP136" s="33" t="s">
        <v>164</v>
      </c>
      <c r="CQ136" s="33" t="s">
        <v>164</v>
      </c>
      <c r="CR136" s="33" t="s">
        <v>164</v>
      </c>
      <c r="CS136" s="33" t="s">
        <v>164</v>
      </c>
      <c r="CT136" s="33" t="s">
        <v>164</v>
      </c>
      <c r="CU136" s="33" t="s">
        <v>164</v>
      </c>
      <c r="CV136" s="33" t="s">
        <v>164</v>
      </c>
      <c r="CW136" s="144" t="s">
        <v>166</v>
      </c>
      <c r="CX136" s="117">
        <v>2.5</v>
      </c>
      <c r="CY136" s="38">
        <v>-3.97</v>
      </c>
      <c r="CZ136" s="50" t="s">
        <v>166</v>
      </c>
      <c r="DA136" s="33" t="s">
        <v>164</v>
      </c>
      <c r="DB136" s="33" t="s">
        <v>164</v>
      </c>
      <c r="DC136" s="33" t="s">
        <v>164</v>
      </c>
      <c r="DD136" s="33" t="s">
        <v>164</v>
      </c>
      <c r="DE136" s="33" t="s">
        <v>164</v>
      </c>
      <c r="DF136" s="33" t="s">
        <v>164</v>
      </c>
      <c r="DG136" s="33" t="s">
        <v>164</v>
      </c>
      <c r="DH136" s="33" t="s">
        <v>164</v>
      </c>
      <c r="DI136" s="33" t="s">
        <v>164</v>
      </c>
      <c r="DJ136" s="50" t="s">
        <v>166</v>
      </c>
      <c r="DK136" s="52">
        <v>0.95</v>
      </c>
      <c r="DL136" s="52">
        <v>7.37</v>
      </c>
      <c r="DM136" s="52">
        <v>91.92</v>
      </c>
      <c r="DN136" s="52">
        <v>3562.93</v>
      </c>
      <c r="DO136" s="52">
        <v>0.169252533</v>
      </c>
      <c r="DP136" s="52">
        <v>37.43</v>
      </c>
      <c r="DQ136" s="52">
        <v>1.4</v>
      </c>
      <c r="DR136" s="52">
        <v>3.32</v>
      </c>
      <c r="DS136" s="52">
        <v>1.61</v>
      </c>
      <c r="DT136" s="52">
        <v>8.06</v>
      </c>
      <c r="DU136" s="52">
        <v>250.67</v>
      </c>
      <c r="DV136" s="52">
        <v>0.17</v>
      </c>
      <c r="DW136" s="52">
        <v>2.8</v>
      </c>
      <c r="DX136" s="52">
        <v>2.73</v>
      </c>
      <c r="DY136" s="52">
        <v>8.75</v>
      </c>
      <c r="DZ136" s="52">
        <v>1.27</v>
      </c>
      <c r="EA136" s="52">
        <v>0.42</v>
      </c>
      <c r="EB136" s="52">
        <v>0.31</v>
      </c>
      <c r="EC136" s="52">
        <v>247.28</v>
      </c>
      <c r="ED136" s="52">
        <v>3.52</v>
      </c>
      <c r="EE136" s="52">
        <v>0.29</v>
      </c>
      <c r="EF136" s="52">
        <v>0.25</v>
      </c>
      <c r="EG136" s="52">
        <v>0.06</v>
      </c>
      <c r="EH136" s="52">
        <v>0.16</v>
      </c>
      <c r="EI136" s="52">
        <v>0.08</v>
      </c>
      <c r="EJ136" s="52">
        <v>0.07</v>
      </c>
      <c r="EK136" s="52">
        <v>60.47</v>
      </c>
      <c r="EL136" s="52">
        <v>2.13</v>
      </c>
      <c r="EM136" s="52">
        <v>1.52</v>
      </c>
      <c r="EN136" s="52">
        <v>2.54</v>
      </c>
      <c r="EO136" s="52">
        <v>0.41</v>
      </c>
      <c r="EP136" s="52">
        <v>0.09</v>
      </c>
      <c r="EQ136" s="52">
        <v>0.36</v>
      </c>
      <c r="ER136" s="52">
        <v>0.49</v>
      </c>
      <c r="ES136" s="52">
        <v>0.3</v>
      </c>
      <c r="ET136" s="52">
        <v>0.087382703</v>
      </c>
      <c r="EU136" s="52">
        <v>0.02</v>
      </c>
      <c r="EV136" s="52">
        <v>11.67</v>
      </c>
      <c r="EW136" s="52">
        <v>11.14</v>
      </c>
      <c r="EX136" s="52">
        <v>2275.56</v>
      </c>
      <c r="EY136" s="52">
        <v>0.12</v>
      </c>
      <c r="EZ136" s="40"/>
      <c r="FA136" s="33"/>
      <c r="FB136" s="33"/>
      <c r="FC136" s="33"/>
      <c r="FD136" s="33"/>
      <c r="FE136" s="33"/>
      <c r="FF136" s="33"/>
      <c r="FG136" s="33"/>
      <c r="FH136" s="33"/>
      <c r="FI136" s="33"/>
      <c r="FJ136" s="33"/>
      <c r="FK136" s="33"/>
      <c r="FL136" s="33"/>
      <c r="FM136" s="33"/>
      <c r="FN136" s="33"/>
      <c r="FO136" s="33"/>
      <c r="FP136" s="33"/>
      <c r="FQ136" s="33"/>
      <c r="FR136" s="33"/>
      <c r="FS136" s="33"/>
      <c r="FT136" s="33"/>
      <c r="FU136" s="33"/>
      <c r="FV136" s="33"/>
      <c r="FW136" s="33"/>
      <c r="FX136" s="33"/>
      <c r="FY136" s="33"/>
      <c r="FZ136" s="33"/>
      <c r="GA136" s="33"/>
    </row>
    <row r="137" ht="15.75" customHeight="1">
      <c r="A137" s="20" t="s">
        <v>369</v>
      </c>
      <c r="B137" s="20"/>
      <c r="C137" s="22"/>
      <c r="D137" s="22"/>
      <c r="E137" s="22"/>
      <c r="F137" s="22"/>
      <c r="G137" s="22"/>
      <c r="H137" s="22"/>
      <c r="I137" s="22"/>
      <c r="J137" s="22"/>
      <c r="K137" s="23"/>
      <c r="L137" s="23"/>
      <c r="M137" s="23"/>
      <c r="N137" s="23"/>
      <c r="O137" s="22"/>
      <c r="P137" s="24"/>
      <c r="Q137" s="24" t="str">
        <f t="shared" si="1"/>
        <v>very fine-grained, homogeneous, white marble</v>
      </c>
      <c r="R137" s="20" t="s">
        <v>188</v>
      </c>
      <c r="S137" s="20" t="s">
        <v>189</v>
      </c>
      <c r="T137" s="20" t="s">
        <v>194</v>
      </c>
      <c r="U137" s="20" t="s">
        <v>195</v>
      </c>
      <c r="V137" s="22"/>
      <c r="W137" s="20" t="s">
        <v>166</v>
      </c>
      <c r="X137" s="20">
        <v>0.4</v>
      </c>
      <c r="Y137" s="20" t="s">
        <v>196</v>
      </c>
      <c r="Z137" s="20" t="s">
        <v>219</v>
      </c>
      <c r="AA137" s="33"/>
      <c r="AB137" s="33"/>
      <c r="AC137" s="33"/>
      <c r="AD137" s="33"/>
      <c r="AE137" s="88"/>
      <c r="AF137" s="33"/>
      <c r="AG137" s="33"/>
      <c r="AH137" s="33"/>
      <c r="AI137" s="33"/>
      <c r="AJ137" s="33"/>
      <c r="AK137" s="33"/>
      <c r="AL137" s="33"/>
      <c r="AM137" s="22"/>
      <c r="AN137" s="22"/>
      <c r="AO137" s="43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90"/>
      <c r="CX137" s="143"/>
      <c r="CY137" s="54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  <c r="EW137" s="33"/>
      <c r="EX137" s="33"/>
      <c r="EY137" s="33"/>
      <c r="EZ137" s="33"/>
    </row>
    <row r="138" ht="15.75" customHeight="1">
      <c r="A138" s="20" t="s">
        <v>370</v>
      </c>
      <c r="B138" s="20"/>
      <c r="C138" s="22"/>
      <c r="D138" s="22"/>
      <c r="E138" s="22"/>
      <c r="F138" s="22"/>
      <c r="G138" s="22"/>
      <c r="H138" s="22"/>
      <c r="I138" s="22"/>
      <c r="J138" s="22"/>
      <c r="K138" s="23"/>
      <c r="L138" s="23"/>
      <c r="M138" s="23"/>
      <c r="N138" s="23"/>
      <c r="O138" s="22"/>
      <c r="P138" s="24"/>
      <c r="Q138" s="24" t="str">
        <f t="shared" si="1"/>
        <v>very fine-grained, homogeneous, grey marble</v>
      </c>
      <c r="R138" s="20" t="s">
        <v>188</v>
      </c>
      <c r="S138" s="20" t="s">
        <v>181</v>
      </c>
      <c r="T138" s="20" t="s">
        <v>194</v>
      </c>
      <c r="U138" s="20" t="s">
        <v>195</v>
      </c>
      <c r="V138" s="22"/>
      <c r="W138" s="20" t="s">
        <v>166</v>
      </c>
      <c r="X138" s="20">
        <v>0.5</v>
      </c>
      <c r="Y138" s="20" t="s">
        <v>196</v>
      </c>
      <c r="Z138" s="20" t="s">
        <v>219</v>
      </c>
      <c r="AA138" s="33"/>
      <c r="AB138" s="33"/>
      <c r="AC138" s="33"/>
      <c r="AD138" s="33"/>
      <c r="AE138" s="88"/>
      <c r="AF138" s="33"/>
      <c r="AG138" s="33"/>
      <c r="AH138" s="33"/>
      <c r="AI138" s="33"/>
      <c r="AJ138" s="33"/>
      <c r="AK138" s="33"/>
      <c r="AL138" s="33"/>
      <c r="AM138" s="22"/>
      <c r="AN138" s="22"/>
      <c r="AO138" s="43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90"/>
      <c r="CX138" s="54"/>
      <c r="CY138" s="54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25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  <c r="EW138" s="33"/>
      <c r="EX138" s="33"/>
      <c r="EY138" s="33"/>
      <c r="EZ138" s="33"/>
    </row>
    <row r="139" ht="15.75" customHeight="1">
      <c r="A139" s="20" t="s">
        <v>371</v>
      </c>
      <c r="B139" s="20"/>
      <c r="C139" s="22"/>
      <c r="D139" s="22"/>
      <c r="E139" s="22"/>
      <c r="F139" s="22"/>
      <c r="G139" s="22"/>
      <c r="H139" s="22"/>
      <c r="I139" s="22"/>
      <c r="J139" s="22"/>
      <c r="K139" s="23"/>
      <c r="L139" s="23"/>
      <c r="M139" s="23"/>
      <c r="N139" s="23"/>
      <c r="O139" s="22"/>
      <c r="P139" s="24"/>
      <c r="Q139" s="24" t="str">
        <f t="shared" si="1"/>
        <v>very fine-grained, homogeneous, white marble</v>
      </c>
      <c r="R139" s="20" t="s">
        <v>188</v>
      </c>
      <c r="S139" s="20" t="s">
        <v>189</v>
      </c>
      <c r="T139" s="20" t="s">
        <v>194</v>
      </c>
      <c r="U139" s="20" t="s">
        <v>195</v>
      </c>
      <c r="V139" s="22"/>
      <c r="W139" s="20" t="s">
        <v>166</v>
      </c>
      <c r="X139" s="20">
        <v>0.9</v>
      </c>
      <c r="Y139" s="20" t="s">
        <v>209</v>
      </c>
      <c r="Z139" s="20" t="s">
        <v>219</v>
      </c>
      <c r="AA139" s="33"/>
      <c r="AB139" s="33"/>
      <c r="AC139" s="33"/>
      <c r="AD139" s="33"/>
      <c r="AE139" s="88"/>
      <c r="AF139" s="33"/>
      <c r="AG139" s="33"/>
      <c r="AH139" s="33"/>
      <c r="AI139" s="33"/>
      <c r="AJ139" s="33"/>
      <c r="AK139" s="33"/>
      <c r="AL139" s="33"/>
      <c r="AM139" s="22"/>
      <c r="AN139" s="22"/>
      <c r="AO139" s="43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141"/>
      <c r="CX139" s="54"/>
      <c r="CY139" s="54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25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  <c r="EW139" s="33"/>
      <c r="EX139" s="33"/>
      <c r="EY139" s="33"/>
      <c r="EZ139" s="33"/>
    </row>
    <row r="140" ht="15.75" customHeight="1">
      <c r="A140" s="20" t="s">
        <v>372</v>
      </c>
      <c r="B140" s="20"/>
      <c r="C140" s="22"/>
      <c r="D140" s="22"/>
      <c r="E140" s="22"/>
      <c r="F140" s="22"/>
      <c r="G140" s="22"/>
      <c r="H140" s="22"/>
      <c r="I140" s="22"/>
      <c r="J140" s="22"/>
      <c r="K140" s="23"/>
      <c r="L140" s="23"/>
      <c r="M140" s="23"/>
      <c r="N140" s="23"/>
      <c r="O140" s="22"/>
      <c r="P140" s="24"/>
      <c r="Q140" s="24" t="str">
        <f t="shared" si="1"/>
        <v>medium-grained, spotted and veined, white marble</v>
      </c>
      <c r="R140" s="20" t="s">
        <v>205</v>
      </c>
      <c r="S140" s="20" t="s">
        <v>189</v>
      </c>
      <c r="T140" s="20" t="s">
        <v>340</v>
      </c>
      <c r="U140" s="20" t="s">
        <v>181</v>
      </c>
      <c r="V140" s="22"/>
      <c r="W140" s="20" t="s">
        <v>166</v>
      </c>
      <c r="X140" s="20">
        <v>2.0</v>
      </c>
      <c r="Y140" s="20" t="s">
        <v>196</v>
      </c>
      <c r="Z140" s="20" t="s">
        <v>219</v>
      </c>
      <c r="AA140" s="33"/>
      <c r="AB140" s="33"/>
      <c r="AC140" s="33"/>
      <c r="AD140" s="33"/>
      <c r="AE140" s="88"/>
      <c r="AF140" s="33"/>
      <c r="AG140" s="33"/>
      <c r="AH140" s="33"/>
      <c r="AI140" s="33"/>
      <c r="AJ140" s="33"/>
      <c r="AK140" s="33"/>
      <c r="AL140" s="33"/>
      <c r="AM140" s="22"/>
      <c r="AN140" s="22"/>
      <c r="AO140" s="43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141"/>
      <c r="CX140" s="54"/>
      <c r="CY140" s="54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  <c r="ET140" s="33"/>
      <c r="EU140" s="33"/>
      <c r="EV140" s="33"/>
      <c r="EW140" s="33"/>
      <c r="EX140" s="33"/>
      <c r="EY140" s="33"/>
      <c r="EZ140" s="33"/>
    </row>
    <row r="141" ht="15.75" customHeight="1">
      <c r="A141" s="20" t="s">
        <v>373</v>
      </c>
      <c r="B141" s="20"/>
      <c r="C141" s="22"/>
      <c r="D141" s="22"/>
      <c r="E141" s="22"/>
      <c r="F141" s="22"/>
      <c r="G141" s="22"/>
      <c r="H141" s="22"/>
      <c r="I141" s="22"/>
      <c r="J141" s="22"/>
      <c r="K141" s="23"/>
      <c r="L141" s="23"/>
      <c r="M141" s="23"/>
      <c r="N141" s="23"/>
      <c r="O141" s="22"/>
      <c r="P141" s="24"/>
      <c r="Q141" s="24" t="str">
        <f t="shared" si="1"/>
        <v>very fine-grained, veined, white marble</v>
      </c>
      <c r="R141" s="20" t="s">
        <v>188</v>
      </c>
      <c r="S141" s="20" t="s">
        <v>189</v>
      </c>
      <c r="T141" s="20" t="s">
        <v>206</v>
      </c>
      <c r="U141" s="20" t="s">
        <v>374</v>
      </c>
      <c r="V141" s="22"/>
      <c r="W141" s="20" t="s">
        <v>166</v>
      </c>
      <c r="X141" s="20">
        <v>0.9</v>
      </c>
      <c r="Y141" s="20" t="s">
        <v>209</v>
      </c>
      <c r="Z141" s="20" t="s">
        <v>375</v>
      </c>
      <c r="AA141" s="33"/>
      <c r="AB141" s="33"/>
      <c r="AC141" s="33"/>
      <c r="AD141" s="33"/>
      <c r="AE141" s="88"/>
      <c r="AF141" s="33"/>
      <c r="AG141" s="33"/>
      <c r="AH141" s="33"/>
      <c r="AI141" s="33"/>
      <c r="AJ141" s="33"/>
      <c r="AK141" s="33"/>
      <c r="AL141" s="33"/>
      <c r="AM141" s="22"/>
      <c r="AN141" s="22"/>
      <c r="AO141" s="43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33"/>
      <c r="CT141" s="33"/>
      <c r="CU141" s="33"/>
      <c r="CV141" s="33"/>
      <c r="CW141" s="141"/>
      <c r="CX141" s="54"/>
      <c r="CY141" s="54"/>
      <c r="CZ141" s="33"/>
      <c r="DA141" s="33"/>
      <c r="DB141" s="33"/>
      <c r="DC141" s="33"/>
      <c r="DD141" s="33"/>
      <c r="DE141" s="33"/>
      <c r="DF141" s="33"/>
      <c r="DG141" s="33"/>
      <c r="DH141" s="33"/>
      <c r="DI141" s="33"/>
      <c r="DJ141" s="33"/>
      <c r="DK141" s="33"/>
      <c r="DL141" s="33"/>
      <c r="DM141" s="33"/>
      <c r="DN141" s="33"/>
      <c r="DO141" s="33"/>
      <c r="DP141" s="33"/>
      <c r="DQ141" s="33"/>
      <c r="DR141" s="33"/>
      <c r="DS141" s="33"/>
      <c r="DT141" s="33"/>
      <c r="DU141" s="33"/>
      <c r="DV141" s="33"/>
      <c r="DW141" s="33"/>
      <c r="DX141" s="33"/>
      <c r="DY141" s="33"/>
      <c r="DZ141" s="33"/>
      <c r="EA141" s="33"/>
      <c r="EB141" s="33"/>
      <c r="EC141" s="33"/>
      <c r="ED141" s="33"/>
      <c r="EE141" s="33"/>
      <c r="EF141" s="33"/>
      <c r="EG141" s="33"/>
      <c r="EH141" s="33"/>
      <c r="EI141" s="33"/>
      <c r="EJ141" s="33"/>
      <c r="EK141" s="33"/>
      <c r="EL141" s="33"/>
      <c r="EM141" s="33"/>
      <c r="EN141" s="33"/>
      <c r="EO141" s="33"/>
      <c r="EP141" s="33"/>
      <c r="EQ141" s="33"/>
      <c r="ER141" s="33"/>
      <c r="ES141" s="33"/>
      <c r="ET141" s="33"/>
      <c r="EU141" s="33"/>
      <c r="EV141" s="33"/>
      <c r="EW141" s="33"/>
      <c r="EX141" s="33"/>
      <c r="EY141" s="33"/>
      <c r="EZ141" s="33"/>
      <c r="FA141" s="33"/>
      <c r="FB141" s="33"/>
      <c r="FC141" s="33"/>
      <c r="FD141" s="33"/>
      <c r="FE141" s="33"/>
      <c r="FF141" s="33"/>
      <c r="FG141" s="33"/>
      <c r="FH141" s="33"/>
      <c r="FI141" s="33"/>
      <c r="FJ141" s="33"/>
      <c r="FK141" s="33"/>
      <c r="FL141" s="33"/>
      <c r="FM141" s="33"/>
      <c r="FN141" s="33"/>
      <c r="FO141" s="33"/>
      <c r="FP141" s="33"/>
      <c r="FQ141" s="33"/>
      <c r="FR141" s="33"/>
      <c r="FS141" s="33"/>
      <c r="FT141" s="33"/>
      <c r="FU141" s="33"/>
      <c r="FV141" s="33"/>
      <c r="FW141" s="33"/>
      <c r="FX141" s="33"/>
      <c r="FY141" s="33"/>
      <c r="FZ141" s="33"/>
      <c r="GA141" s="33"/>
    </row>
    <row r="142" ht="15.75" customHeight="1">
      <c r="A142" s="20" t="s">
        <v>376</v>
      </c>
      <c r="B142" s="20"/>
      <c r="C142" s="22"/>
      <c r="D142" s="22"/>
      <c r="E142" s="22"/>
      <c r="F142" s="22"/>
      <c r="G142" s="22"/>
      <c r="H142" s="22"/>
      <c r="I142" s="22"/>
      <c r="J142" s="22"/>
      <c r="K142" s="23"/>
      <c r="L142" s="23"/>
      <c r="M142" s="23"/>
      <c r="N142" s="23"/>
      <c r="O142" s="22"/>
      <c r="P142" s="24"/>
      <c r="Q142" s="24" t="str">
        <f t="shared" si="1"/>
        <v>fine-grained, spotted and veined, white marble</v>
      </c>
      <c r="R142" s="20" t="s">
        <v>180</v>
      </c>
      <c r="S142" s="20" t="s">
        <v>189</v>
      </c>
      <c r="T142" s="20" t="s">
        <v>340</v>
      </c>
      <c r="U142" s="20" t="s">
        <v>254</v>
      </c>
      <c r="V142" s="22"/>
      <c r="W142" s="20" t="s">
        <v>166</v>
      </c>
      <c r="X142" s="20">
        <v>0.5</v>
      </c>
      <c r="Y142" s="20" t="s">
        <v>219</v>
      </c>
      <c r="Z142" s="20" t="s">
        <v>219</v>
      </c>
      <c r="AA142" s="33"/>
      <c r="AB142" s="33"/>
      <c r="AC142" s="33"/>
      <c r="AD142" s="33"/>
      <c r="AE142" s="88"/>
      <c r="AF142" s="33"/>
      <c r="AG142" s="33"/>
      <c r="AH142" s="33"/>
      <c r="AI142" s="33"/>
      <c r="AJ142" s="33"/>
      <c r="AK142" s="33"/>
      <c r="AL142" s="33"/>
      <c r="AM142" s="22"/>
      <c r="AN142" s="22"/>
      <c r="AO142" s="43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  <c r="CS142" s="33"/>
      <c r="CT142" s="33"/>
      <c r="CU142" s="33"/>
      <c r="CV142" s="33"/>
      <c r="CW142" s="141"/>
      <c r="CX142" s="54"/>
      <c r="CY142" s="54"/>
      <c r="CZ142" s="33"/>
      <c r="DA142" s="33"/>
      <c r="DB142" s="33"/>
      <c r="DC142" s="33"/>
      <c r="DD142" s="33"/>
      <c r="DE142" s="33"/>
      <c r="DF142" s="33"/>
      <c r="DG142" s="33"/>
      <c r="DH142" s="33"/>
      <c r="DI142" s="33"/>
      <c r="DJ142" s="33"/>
      <c r="DK142" s="33"/>
      <c r="DL142" s="33"/>
      <c r="DM142" s="33"/>
      <c r="DN142" s="33"/>
      <c r="DO142" s="33"/>
      <c r="DP142" s="33"/>
      <c r="DQ142" s="33"/>
      <c r="DR142" s="33"/>
      <c r="DS142" s="33"/>
      <c r="DT142" s="33"/>
      <c r="DU142" s="33"/>
      <c r="DV142" s="33"/>
      <c r="DW142" s="33"/>
      <c r="DX142" s="33"/>
      <c r="DY142" s="33"/>
      <c r="DZ142" s="33"/>
      <c r="EA142" s="33"/>
      <c r="EB142" s="33"/>
      <c r="EC142" s="33"/>
      <c r="ED142" s="33"/>
      <c r="EE142" s="33"/>
      <c r="EF142" s="33"/>
      <c r="EG142" s="33"/>
      <c r="EH142" s="33"/>
      <c r="EI142" s="33"/>
      <c r="EJ142" s="33"/>
      <c r="EK142" s="33"/>
      <c r="EL142" s="33"/>
      <c r="EM142" s="33"/>
      <c r="EN142" s="33"/>
      <c r="EO142" s="33"/>
      <c r="EP142" s="33"/>
      <c r="EQ142" s="33"/>
      <c r="ER142" s="33"/>
      <c r="ES142" s="33"/>
      <c r="ET142" s="33"/>
      <c r="EU142" s="33"/>
      <c r="EV142" s="33"/>
      <c r="EW142" s="33"/>
      <c r="EX142" s="33"/>
      <c r="EY142" s="33"/>
      <c r="EZ142" s="33"/>
      <c r="FA142" s="63"/>
      <c r="FB142" s="63"/>
      <c r="FC142" s="63"/>
      <c r="FD142" s="63"/>
      <c r="FE142" s="63"/>
      <c r="FF142" s="63"/>
      <c r="FG142" s="63"/>
      <c r="FH142" s="63"/>
      <c r="FI142" s="63"/>
      <c r="FJ142" s="63"/>
      <c r="FK142" s="63"/>
      <c r="FL142" s="63"/>
      <c r="FM142" s="63"/>
      <c r="FN142" s="63"/>
      <c r="FO142" s="63"/>
      <c r="FP142" s="63"/>
      <c r="FQ142" s="63"/>
      <c r="FR142" s="63"/>
      <c r="FS142" s="63"/>
      <c r="FT142" s="63"/>
      <c r="FU142" s="63"/>
      <c r="FV142" s="63"/>
      <c r="FW142" s="63"/>
      <c r="FX142" s="63"/>
      <c r="FY142" s="63"/>
      <c r="FZ142" s="63"/>
      <c r="GA142" s="63"/>
    </row>
    <row r="143" ht="15.75" customHeight="1">
      <c r="A143" s="20" t="s">
        <v>377</v>
      </c>
      <c r="B143" s="20"/>
      <c r="C143" s="22"/>
      <c r="D143" s="22"/>
      <c r="E143" s="22"/>
      <c r="F143" s="22"/>
      <c r="G143" s="22"/>
      <c r="H143" s="22"/>
      <c r="I143" s="22"/>
      <c r="J143" s="22"/>
      <c r="K143" s="23"/>
      <c r="L143" s="23"/>
      <c r="M143" s="23"/>
      <c r="N143" s="23"/>
      <c r="O143" s="22"/>
      <c r="P143" s="24"/>
      <c r="Q143" s="24" t="str">
        <f t="shared" si="1"/>
        <v>fine-grained, homogeneous, white marble</v>
      </c>
      <c r="R143" s="20" t="s">
        <v>180</v>
      </c>
      <c r="S143" s="20" t="s">
        <v>189</v>
      </c>
      <c r="T143" s="20" t="s">
        <v>194</v>
      </c>
      <c r="U143" s="20" t="s">
        <v>195</v>
      </c>
      <c r="V143" s="22"/>
      <c r="W143" s="20" t="s">
        <v>166</v>
      </c>
      <c r="X143" s="20">
        <v>1.1</v>
      </c>
      <c r="Y143" s="20" t="s">
        <v>191</v>
      </c>
      <c r="Z143" s="20" t="s">
        <v>184</v>
      </c>
      <c r="AA143" s="33"/>
      <c r="AB143" s="33"/>
      <c r="AC143" s="33"/>
      <c r="AD143" s="33"/>
      <c r="AE143" s="88"/>
      <c r="AF143" s="33"/>
      <c r="AG143" s="33"/>
      <c r="AH143" s="33"/>
      <c r="AI143" s="33"/>
      <c r="AJ143" s="33"/>
      <c r="AK143" s="33"/>
      <c r="AL143" s="33"/>
      <c r="AM143" s="22"/>
      <c r="AN143" s="22"/>
      <c r="AO143" s="43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141"/>
      <c r="CX143" s="54"/>
      <c r="CY143" s="54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  <c r="EE143" s="33"/>
      <c r="EF143" s="33"/>
      <c r="EG143" s="33"/>
      <c r="EH143" s="33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  <c r="ET143" s="33"/>
      <c r="EU143" s="33"/>
      <c r="EV143" s="33"/>
      <c r="EW143" s="33"/>
      <c r="EX143" s="33"/>
      <c r="EY143" s="33"/>
      <c r="EZ143" s="33"/>
    </row>
    <row r="144" ht="15.75" customHeight="1">
      <c r="A144" s="20" t="s">
        <v>378</v>
      </c>
      <c r="B144" s="20"/>
      <c r="C144" s="22"/>
      <c r="D144" s="22"/>
      <c r="E144" s="22"/>
      <c r="F144" s="22"/>
      <c r="G144" s="22"/>
      <c r="H144" s="22"/>
      <c r="I144" s="22"/>
      <c r="J144" s="22"/>
      <c r="K144" s="23"/>
      <c r="L144" s="23"/>
      <c r="M144" s="23"/>
      <c r="N144" s="23"/>
      <c r="O144" s="22"/>
      <c r="P144" s="24"/>
      <c r="Q144" s="24" t="str">
        <f t="shared" si="1"/>
        <v>medium-grained, homogeneous, white marble</v>
      </c>
      <c r="R144" s="20" t="s">
        <v>205</v>
      </c>
      <c r="S144" s="20" t="s">
        <v>189</v>
      </c>
      <c r="T144" s="20" t="s">
        <v>194</v>
      </c>
      <c r="U144" s="20" t="s">
        <v>195</v>
      </c>
      <c r="V144" s="22"/>
      <c r="W144" s="20" t="s">
        <v>166</v>
      </c>
      <c r="X144" s="20">
        <v>2.3</v>
      </c>
      <c r="Y144" s="20" t="s">
        <v>219</v>
      </c>
      <c r="Z144" s="20" t="s">
        <v>219</v>
      </c>
      <c r="AA144" s="33"/>
      <c r="AB144" s="33"/>
      <c r="AC144" s="33"/>
      <c r="AD144" s="33"/>
      <c r="AE144" s="88"/>
      <c r="AF144" s="33"/>
      <c r="AG144" s="33"/>
      <c r="AH144" s="33"/>
      <c r="AI144" s="33"/>
      <c r="AJ144" s="33"/>
      <c r="AK144" s="33"/>
      <c r="AL144" s="33"/>
      <c r="AM144" s="22"/>
      <c r="AN144" s="22"/>
      <c r="AO144" s="43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141"/>
      <c r="CX144" s="54"/>
      <c r="CY144" s="54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DN144" s="33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  <c r="ED144" s="33"/>
      <c r="EE144" s="33"/>
      <c r="EF144" s="33"/>
      <c r="EG144" s="33"/>
      <c r="EH144" s="33"/>
      <c r="EI144" s="33"/>
      <c r="EJ144" s="33"/>
      <c r="EK144" s="33"/>
      <c r="EL144" s="33"/>
      <c r="EM144" s="33"/>
      <c r="EN144" s="33"/>
      <c r="EO144" s="33"/>
      <c r="EP144" s="33"/>
      <c r="EQ144" s="33"/>
      <c r="ER144" s="33"/>
      <c r="ES144" s="33"/>
      <c r="ET144" s="33"/>
      <c r="EU144" s="33"/>
      <c r="EV144" s="33"/>
      <c r="EW144" s="33"/>
      <c r="EX144" s="33"/>
      <c r="EY144" s="33"/>
      <c r="EZ144" s="33"/>
    </row>
    <row r="145" ht="15.75" customHeight="1">
      <c r="A145" s="20" t="s">
        <v>379</v>
      </c>
      <c r="B145" s="20"/>
      <c r="C145" s="22"/>
      <c r="D145" s="22"/>
      <c r="E145" s="22"/>
      <c r="F145" s="22"/>
      <c r="G145" s="22"/>
      <c r="H145" s="22"/>
      <c r="I145" s="22"/>
      <c r="J145" s="22"/>
      <c r="K145" s="23"/>
      <c r="L145" s="23"/>
      <c r="M145" s="23"/>
      <c r="N145" s="23"/>
      <c r="O145" s="22"/>
      <c r="P145" s="24"/>
      <c r="Q145" s="24" t="str">
        <f t="shared" si="1"/>
        <v>very fine-grained, homogeneous, white marble</v>
      </c>
      <c r="R145" s="20" t="s">
        <v>188</v>
      </c>
      <c r="S145" s="20" t="s">
        <v>189</v>
      </c>
      <c r="T145" s="20" t="s">
        <v>194</v>
      </c>
      <c r="U145" s="20" t="s">
        <v>195</v>
      </c>
      <c r="V145" s="22"/>
      <c r="W145" s="20" t="s">
        <v>166</v>
      </c>
      <c r="X145" s="20">
        <v>0.5</v>
      </c>
      <c r="Y145" s="20" t="s">
        <v>196</v>
      </c>
      <c r="Z145" s="20" t="s">
        <v>207</v>
      </c>
      <c r="AA145" s="33"/>
      <c r="AB145" s="33"/>
      <c r="AC145" s="33"/>
      <c r="AD145" s="33"/>
      <c r="AE145" s="88"/>
      <c r="AF145" s="33"/>
      <c r="AG145" s="33"/>
      <c r="AH145" s="33"/>
      <c r="AI145" s="33"/>
      <c r="AJ145" s="33"/>
      <c r="AK145" s="33"/>
      <c r="AL145" s="33"/>
      <c r="AM145" s="22"/>
      <c r="AN145" s="22"/>
      <c r="AO145" s="43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141"/>
      <c r="CX145" s="54"/>
      <c r="CY145" s="54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  <c r="EW145" s="33"/>
      <c r="EX145" s="33"/>
      <c r="EY145" s="33"/>
      <c r="EZ145" s="33"/>
    </row>
    <row r="146" ht="15.75" customHeight="1">
      <c r="A146" s="20" t="s">
        <v>380</v>
      </c>
      <c r="B146" s="20"/>
      <c r="C146" s="22"/>
      <c r="D146" s="22"/>
      <c r="E146" s="22"/>
      <c r="F146" s="22"/>
      <c r="G146" s="22"/>
      <c r="H146" s="22"/>
      <c r="I146" s="22"/>
      <c r="J146" s="22"/>
      <c r="K146" s="23"/>
      <c r="L146" s="23"/>
      <c r="M146" s="23"/>
      <c r="N146" s="23"/>
      <c r="O146" s="22"/>
      <c r="P146" s="24"/>
      <c r="Q146" s="24" t="str">
        <f t="shared" si="1"/>
        <v>-grained, , white marble</v>
      </c>
      <c r="R146" s="22"/>
      <c r="S146" s="20" t="s">
        <v>189</v>
      </c>
      <c r="T146" s="22"/>
      <c r="U146" s="22"/>
      <c r="V146" s="22"/>
      <c r="W146" s="20" t="s">
        <v>166</v>
      </c>
      <c r="X146" s="20" t="s">
        <v>219</v>
      </c>
      <c r="Y146" s="20" t="s">
        <v>219</v>
      </c>
      <c r="Z146" s="20" t="s">
        <v>219</v>
      </c>
      <c r="AA146" s="33"/>
      <c r="AB146" s="33"/>
      <c r="AC146" s="33"/>
      <c r="AD146" s="33"/>
      <c r="AE146" s="88"/>
      <c r="AF146" s="33"/>
      <c r="AG146" s="33"/>
      <c r="AH146" s="33"/>
      <c r="AI146" s="33"/>
      <c r="AJ146" s="33"/>
      <c r="AK146" s="33"/>
      <c r="AL146" s="33"/>
      <c r="AM146" s="22"/>
      <c r="AN146" s="22"/>
      <c r="AO146" s="43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141"/>
      <c r="CX146" s="142"/>
      <c r="CY146" s="142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  <c r="ET146" s="33"/>
      <c r="EU146" s="33"/>
      <c r="EV146" s="33"/>
      <c r="EW146" s="33"/>
      <c r="EX146" s="33"/>
      <c r="EY146" s="33"/>
      <c r="EZ146" s="33"/>
      <c r="FA146" s="33"/>
      <c r="FB146" s="33"/>
      <c r="FC146" s="33"/>
      <c r="FD146" s="33"/>
      <c r="FE146" s="33"/>
      <c r="FF146" s="33"/>
      <c r="FG146" s="33"/>
      <c r="FH146" s="33"/>
      <c r="FI146" s="33"/>
      <c r="FJ146" s="33"/>
      <c r="FK146" s="33"/>
      <c r="FL146" s="33"/>
      <c r="FM146" s="33"/>
      <c r="FN146" s="33"/>
      <c r="FO146" s="33"/>
      <c r="FP146" s="33"/>
      <c r="FQ146" s="33"/>
      <c r="FR146" s="33"/>
      <c r="FS146" s="33"/>
      <c r="FT146" s="33"/>
      <c r="FU146" s="33"/>
      <c r="FV146" s="33"/>
      <c r="FW146" s="33"/>
      <c r="FX146" s="33"/>
      <c r="FY146" s="33"/>
      <c r="FZ146" s="33"/>
      <c r="GA146" s="33"/>
    </row>
    <row r="147" ht="15.75" customHeight="1">
      <c r="A147" s="20" t="s">
        <v>381</v>
      </c>
      <c r="B147" s="20"/>
      <c r="C147" s="22"/>
      <c r="D147" s="22"/>
      <c r="E147" s="22"/>
      <c r="F147" s="22"/>
      <c r="G147" s="22"/>
      <c r="H147" s="22"/>
      <c r="I147" s="22"/>
      <c r="J147" s="22"/>
      <c r="K147" s="62"/>
      <c r="L147" s="48" t="s">
        <v>382</v>
      </c>
      <c r="M147" s="23"/>
      <c r="N147" s="23"/>
      <c r="O147" s="22" t="s">
        <v>164</v>
      </c>
      <c r="P147" s="24"/>
      <c r="Q147" s="24" t="str">
        <f t="shared" si="1"/>
        <v>fine-grained, homogeneous, white marble</v>
      </c>
      <c r="R147" s="20" t="s">
        <v>180</v>
      </c>
      <c r="S147" s="20" t="s">
        <v>189</v>
      </c>
      <c r="T147" s="20" t="s">
        <v>194</v>
      </c>
      <c r="U147" s="20" t="s">
        <v>195</v>
      </c>
      <c r="V147" s="20" t="s">
        <v>190</v>
      </c>
      <c r="W147" s="20" t="s">
        <v>166</v>
      </c>
      <c r="X147" s="20">
        <v>1.7</v>
      </c>
      <c r="Y147" s="20" t="s">
        <v>383</v>
      </c>
      <c r="Z147" s="20" t="s">
        <v>198</v>
      </c>
      <c r="AA147" s="33"/>
      <c r="AB147" s="50" t="s">
        <v>166</v>
      </c>
      <c r="AC147" s="50">
        <v>1.9</v>
      </c>
      <c r="AD147" s="50" t="s">
        <v>183</v>
      </c>
      <c r="AE147" s="36" t="s">
        <v>384</v>
      </c>
      <c r="AF147" s="50" t="s">
        <v>166</v>
      </c>
      <c r="AG147" s="50" t="s">
        <v>166</v>
      </c>
      <c r="AH147" s="33" t="s">
        <v>164</v>
      </c>
      <c r="AI147" s="33" t="s">
        <v>164</v>
      </c>
      <c r="AJ147" s="33" t="s">
        <v>164</v>
      </c>
      <c r="AK147" s="33" t="s">
        <v>164</v>
      </c>
      <c r="AL147" s="33" t="s">
        <v>164</v>
      </c>
      <c r="AM147" s="22"/>
      <c r="AN147" s="22"/>
      <c r="AO147" s="43">
        <f t="shared" ref="AO147:AO151" si="9">SUM(AP147,AQ147,AR147)</f>
        <v>0</v>
      </c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 t="s">
        <v>164</v>
      </c>
      <c r="BF147" s="22" t="s">
        <v>164</v>
      </c>
      <c r="BG147" s="22" t="s">
        <v>164</v>
      </c>
      <c r="BH147" s="22" t="s">
        <v>164</v>
      </c>
      <c r="BI147" s="22"/>
      <c r="BJ147" s="22" t="s">
        <v>164</v>
      </c>
      <c r="BK147" s="22"/>
      <c r="BL147" s="22" t="s">
        <v>164</v>
      </c>
      <c r="BM147" s="22"/>
      <c r="BN147" s="22" t="s">
        <v>164</v>
      </c>
      <c r="BO147" s="22"/>
      <c r="BP147" s="22"/>
      <c r="BQ147" s="22"/>
      <c r="BR147" s="22" t="s">
        <v>164</v>
      </c>
      <c r="BS147" s="22"/>
      <c r="BT147" s="22" t="s">
        <v>164</v>
      </c>
      <c r="BU147" s="22"/>
      <c r="BV147" s="22"/>
      <c r="BW147" s="22"/>
      <c r="BX147" s="22" t="s">
        <v>164</v>
      </c>
      <c r="BY147" s="22"/>
      <c r="BZ147" s="22" t="s">
        <v>164</v>
      </c>
      <c r="CA147" s="22"/>
      <c r="CB147" s="22" t="s">
        <v>164</v>
      </c>
      <c r="CC147" s="22"/>
      <c r="CD147" s="22" t="s">
        <v>164</v>
      </c>
      <c r="CE147" s="33" t="s">
        <v>164</v>
      </c>
      <c r="CF147" s="33" t="s">
        <v>164</v>
      </c>
      <c r="CG147" s="33" t="s">
        <v>164</v>
      </c>
      <c r="CH147" s="33" t="s">
        <v>164</v>
      </c>
      <c r="CI147" s="33" t="s">
        <v>164</v>
      </c>
      <c r="CJ147" s="33" t="s">
        <v>164</v>
      </c>
      <c r="CK147" s="33" t="s">
        <v>164</v>
      </c>
      <c r="CL147" s="33" t="s">
        <v>164</v>
      </c>
      <c r="CM147" s="33" t="s">
        <v>164</v>
      </c>
      <c r="CN147" s="33" t="s">
        <v>164</v>
      </c>
      <c r="CO147" s="33" t="s">
        <v>164</v>
      </c>
      <c r="CP147" s="33" t="s">
        <v>164</v>
      </c>
      <c r="CQ147" s="33" t="s">
        <v>164</v>
      </c>
      <c r="CR147" s="33" t="s">
        <v>164</v>
      </c>
      <c r="CS147" s="33" t="s">
        <v>164</v>
      </c>
      <c r="CT147" s="33" t="s">
        <v>164</v>
      </c>
      <c r="CU147" s="33" t="s">
        <v>164</v>
      </c>
      <c r="CV147" s="33" t="s">
        <v>164</v>
      </c>
      <c r="CW147" s="140" t="s">
        <v>166</v>
      </c>
      <c r="CX147" s="38">
        <v>1.98</v>
      </c>
      <c r="CY147" s="38">
        <v>-1.97</v>
      </c>
      <c r="CZ147" s="50" t="s">
        <v>166</v>
      </c>
      <c r="DA147" s="33" t="s">
        <v>164</v>
      </c>
      <c r="DB147" s="33" t="s">
        <v>164</v>
      </c>
      <c r="DC147" s="33" t="s">
        <v>164</v>
      </c>
      <c r="DD147" s="33" t="s">
        <v>164</v>
      </c>
      <c r="DE147" s="33" t="s">
        <v>164</v>
      </c>
      <c r="DF147" s="33" t="s">
        <v>164</v>
      </c>
      <c r="DG147" s="33" t="s">
        <v>164</v>
      </c>
      <c r="DH147" s="33" t="s">
        <v>164</v>
      </c>
      <c r="DI147" s="33" t="s">
        <v>164</v>
      </c>
      <c r="DJ147" s="50" t="s">
        <v>166</v>
      </c>
      <c r="DK147" s="52">
        <v>0.42</v>
      </c>
      <c r="DL147" s="52">
        <v>6.58</v>
      </c>
      <c r="DM147" s="52">
        <v>21.87</v>
      </c>
      <c r="DN147" s="52">
        <v>2678.43</v>
      </c>
      <c r="DO147" s="52">
        <v>0.063462873</v>
      </c>
      <c r="DP147" s="52">
        <v>30.11</v>
      </c>
      <c r="DQ147" s="52">
        <v>0.37</v>
      </c>
      <c r="DR147" s="52">
        <v>2.96</v>
      </c>
      <c r="DS147" s="52">
        <v>17.05</v>
      </c>
      <c r="DT147" s="52">
        <v>156.92</v>
      </c>
      <c r="DU147" s="52">
        <v>0.12</v>
      </c>
      <c r="DV147" s="52">
        <v>1.76</v>
      </c>
      <c r="DW147" s="52">
        <v>1.52</v>
      </c>
      <c r="DX147" s="52">
        <v>12.26</v>
      </c>
      <c r="DY147" s="52">
        <v>0.05</v>
      </c>
      <c r="DZ147" s="52">
        <v>0.42</v>
      </c>
      <c r="EA147" s="52">
        <v>0.12</v>
      </c>
      <c r="EB147" s="52">
        <v>125.01</v>
      </c>
      <c r="EC147" s="52">
        <v>4.49</v>
      </c>
      <c r="ED147" s="52">
        <v>0.13</v>
      </c>
      <c r="EE147" s="52">
        <v>0.02</v>
      </c>
      <c r="EF147" s="52">
        <v>0.01</v>
      </c>
      <c r="EG147" s="52">
        <v>0.16</v>
      </c>
      <c r="EH147" s="52">
        <v>0.1</v>
      </c>
      <c r="EI147" s="52">
        <v>0.01</v>
      </c>
      <c r="EJ147" s="52">
        <v>1.48</v>
      </c>
      <c r="EK147" s="52">
        <v>2.25</v>
      </c>
      <c r="EL147" s="52">
        <v>0.6</v>
      </c>
      <c r="EM147" s="52">
        <v>1.24</v>
      </c>
      <c r="EN147" s="52">
        <v>0.19</v>
      </c>
      <c r="EO147" s="52">
        <v>0.04</v>
      </c>
      <c r="EP147" s="52">
        <v>0.19</v>
      </c>
      <c r="EQ147" s="52">
        <v>0.32</v>
      </c>
      <c r="ER147" s="52">
        <v>0.23</v>
      </c>
      <c r="ES147" s="52">
        <v>0.15</v>
      </c>
      <c r="ET147" s="52">
        <v>0.00321891</v>
      </c>
      <c r="EU147" s="52">
        <v>10.5</v>
      </c>
      <c r="EV147" s="52">
        <v>8.06</v>
      </c>
      <c r="EW147" s="52">
        <v>1.0</v>
      </c>
      <c r="EX147" s="52">
        <v>1.09</v>
      </c>
      <c r="EY147" s="52">
        <v>0.02</v>
      </c>
      <c r="EZ147" s="40"/>
      <c r="FA147" s="63"/>
      <c r="FB147" s="63"/>
      <c r="FC147" s="63"/>
      <c r="FD147" s="63"/>
      <c r="FE147" s="63"/>
      <c r="FF147" s="63"/>
      <c r="FG147" s="63"/>
      <c r="FH147" s="63"/>
      <c r="FI147" s="63"/>
      <c r="FJ147" s="63"/>
      <c r="FK147" s="63"/>
      <c r="FL147" s="63"/>
      <c r="FM147" s="63"/>
      <c r="FN147" s="63"/>
      <c r="FO147" s="63"/>
      <c r="FP147" s="63"/>
      <c r="FQ147" s="63"/>
      <c r="FR147" s="63"/>
      <c r="FS147" s="63"/>
      <c r="FT147" s="63"/>
      <c r="FU147" s="63"/>
      <c r="FV147" s="63"/>
      <c r="FW147" s="63"/>
      <c r="FX147" s="63"/>
      <c r="FY147" s="63"/>
      <c r="FZ147" s="63"/>
      <c r="GA147" s="63"/>
    </row>
    <row r="148" ht="15.75" customHeight="1">
      <c r="A148" s="20" t="s">
        <v>385</v>
      </c>
      <c r="B148" s="20"/>
      <c r="C148" s="22"/>
      <c r="D148" s="22"/>
      <c r="E148" s="22"/>
      <c r="F148" s="22"/>
      <c r="G148" s="22"/>
      <c r="H148" s="22"/>
      <c r="I148" s="22"/>
      <c r="J148" s="22"/>
      <c r="K148" s="62"/>
      <c r="L148" s="23"/>
      <c r="M148" s="23"/>
      <c r="N148" s="23"/>
      <c r="O148" s="22" t="s">
        <v>164</v>
      </c>
      <c r="P148" s="76" t="s">
        <v>247</v>
      </c>
      <c r="Q148" s="24" t="str">
        <f t="shared" si="1"/>
        <v>very fine-grained, homogeneous, yellowish marble</v>
      </c>
      <c r="R148" s="22" t="s">
        <v>188</v>
      </c>
      <c r="S148" s="22" t="s">
        <v>386</v>
      </c>
      <c r="T148" s="24" t="s">
        <v>194</v>
      </c>
      <c r="U148" s="22" t="s">
        <v>195</v>
      </c>
      <c r="V148" s="22" t="s">
        <v>190</v>
      </c>
      <c r="W148" s="20" t="s">
        <v>166</v>
      </c>
      <c r="X148" s="20">
        <v>0.1</v>
      </c>
      <c r="Y148" s="20" t="s">
        <v>209</v>
      </c>
      <c r="Z148" s="20" t="s">
        <v>219</v>
      </c>
      <c r="AA148" s="33"/>
      <c r="AB148" s="50" t="s">
        <v>166</v>
      </c>
      <c r="AC148" s="50">
        <v>0.2</v>
      </c>
      <c r="AD148" s="50" t="s">
        <v>209</v>
      </c>
      <c r="AE148" s="36" t="s">
        <v>198</v>
      </c>
      <c r="AF148" s="33" t="s">
        <v>164</v>
      </c>
      <c r="AG148" s="33" t="s">
        <v>164</v>
      </c>
      <c r="AH148" s="50" t="s">
        <v>166</v>
      </c>
      <c r="AI148" s="33" t="s">
        <v>164</v>
      </c>
      <c r="AJ148" s="33" t="s">
        <v>164</v>
      </c>
      <c r="AK148" s="33" t="s">
        <v>164</v>
      </c>
      <c r="AL148" s="33" t="s">
        <v>164</v>
      </c>
      <c r="AM148" s="22"/>
      <c r="AN148" s="22"/>
      <c r="AO148" s="43">
        <f t="shared" si="9"/>
        <v>0</v>
      </c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 t="s">
        <v>164</v>
      </c>
      <c r="BF148" s="22" t="s">
        <v>164</v>
      </c>
      <c r="BG148" s="22" t="s">
        <v>164</v>
      </c>
      <c r="BH148" s="22" t="s">
        <v>164</v>
      </c>
      <c r="BI148" s="22"/>
      <c r="BJ148" s="22" t="s">
        <v>164</v>
      </c>
      <c r="BK148" s="22"/>
      <c r="BL148" s="22" t="s">
        <v>164</v>
      </c>
      <c r="BM148" s="22"/>
      <c r="BN148" s="22" t="s">
        <v>164</v>
      </c>
      <c r="BO148" s="22"/>
      <c r="BP148" s="22"/>
      <c r="BQ148" s="22"/>
      <c r="BR148" s="22" t="s">
        <v>164</v>
      </c>
      <c r="BS148" s="22"/>
      <c r="BT148" s="22" t="s">
        <v>164</v>
      </c>
      <c r="BU148" s="22"/>
      <c r="BV148" s="22"/>
      <c r="BW148" s="22"/>
      <c r="BX148" s="22" t="s">
        <v>164</v>
      </c>
      <c r="BY148" s="22"/>
      <c r="BZ148" s="22" t="s">
        <v>164</v>
      </c>
      <c r="CA148" s="22"/>
      <c r="CB148" s="22" t="s">
        <v>164</v>
      </c>
      <c r="CC148" s="22"/>
      <c r="CD148" s="22" t="s">
        <v>164</v>
      </c>
      <c r="CE148" s="33" t="s">
        <v>164</v>
      </c>
      <c r="CF148" s="33" t="s">
        <v>164</v>
      </c>
      <c r="CG148" s="33" t="s">
        <v>164</v>
      </c>
      <c r="CH148" s="33" t="s">
        <v>164</v>
      </c>
      <c r="CI148" s="33" t="s">
        <v>164</v>
      </c>
      <c r="CJ148" s="33" t="s">
        <v>164</v>
      </c>
      <c r="CK148" s="33" t="s">
        <v>164</v>
      </c>
      <c r="CL148" s="33" t="s">
        <v>164</v>
      </c>
      <c r="CM148" s="33" t="s">
        <v>164</v>
      </c>
      <c r="CN148" s="33" t="s">
        <v>164</v>
      </c>
      <c r="CO148" s="33" t="s">
        <v>164</v>
      </c>
      <c r="CP148" s="33" t="s">
        <v>164</v>
      </c>
      <c r="CQ148" s="33" t="s">
        <v>164</v>
      </c>
      <c r="CR148" s="33" t="s">
        <v>164</v>
      </c>
      <c r="CS148" s="33" t="s">
        <v>164</v>
      </c>
      <c r="CT148" s="33" t="s">
        <v>164</v>
      </c>
      <c r="CU148" s="33" t="s">
        <v>164</v>
      </c>
      <c r="CV148" s="33" t="s">
        <v>164</v>
      </c>
      <c r="CW148" s="140" t="s">
        <v>166</v>
      </c>
      <c r="CX148" s="38">
        <v>2.05</v>
      </c>
      <c r="CY148" s="38">
        <v>-4.83</v>
      </c>
      <c r="CZ148" s="50" t="s">
        <v>166</v>
      </c>
      <c r="DA148" s="33" t="s">
        <v>164</v>
      </c>
      <c r="DB148" s="33" t="s">
        <v>164</v>
      </c>
      <c r="DC148" s="33" t="s">
        <v>164</v>
      </c>
      <c r="DD148" s="33" t="s">
        <v>164</v>
      </c>
      <c r="DE148" s="33" t="s">
        <v>164</v>
      </c>
      <c r="DF148" s="33" t="s">
        <v>164</v>
      </c>
      <c r="DG148" s="33" t="s">
        <v>164</v>
      </c>
      <c r="DH148" s="33" t="s">
        <v>164</v>
      </c>
      <c r="DI148" s="33" t="s">
        <v>164</v>
      </c>
      <c r="DJ148" s="50" t="s">
        <v>166</v>
      </c>
      <c r="DK148" s="52">
        <v>1.35</v>
      </c>
      <c r="DL148" s="52">
        <v>10.33</v>
      </c>
      <c r="DM148" s="52">
        <v>128.06</v>
      </c>
      <c r="DN148" s="52">
        <v>3961.93</v>
      </c>
      <c r="DO148" s="52">
        <v>0.175333046</v>
      </c>
      <c r="DP148" s="52">
        <v>25.67</v>
      </c>
      <c r="DQ148" s="52">
        <v>2.85</v>
      </c>
      <c r="DR148" s="52">
        <v>4.31</v>
      </c>
      <c r="DS148" s="52">
        <v>2.07</v>
      </c>
      <c r="DT148" s="52">
        <v>52.08</v>
      </c>
      <c r="DU148" s="52">
        <v>864.99</v>
      </c>
      <c r="DV148" s="52">
        <v>0.26</v>
      </c>
      <c r="DW148" s="52">
        <v>2.91</v>
      </c>
      <c r="DX148" s="52">
        <v>1.05</v>
      </c>
      <c r="DY148" s="52">
        <v>14.85</v>
      </c>
      <c r="DZ148" s="52">
        <v>0.15</v>
      </c>
      <c r="EA148" s="52">
        <v>0.47</v>
      </c>
      <c r="EB148" s="52">
        <v>1.15</v>
      </c>
      <c r="EC148" s="52">
        <v>313.04</v>
      </c>
      <c r="ED148" s="52">
        <v>1.31</v>
      </c>
      <c r="EE148" s="52">
        <v>0.46</v>
      </c>
      <c r="EF148" s="52">
        <v>0.12</v>
      </c>
      <c r="EG148" s="52">
        <v>0.01</v>
      </c>
      <c r="EH148" s="52">
        <v>0.05</v>
      </c>
      <c r="EI148" s="52">
        <v>0.07</v>
      </c>
      <c r="EJ148" s="52">
        <v>0.15</v>
      </c>
      <c r="EK148" s="52">
        <v>2.28</v>
      </c>
      <c r="EL148" s="52">
        <v>0.6</v>
      </c>
      <c r="EM148" s="52">
        <v>0.66</v>
      </c>
      <c r="EN148" s="52">
        <v>0.38</v>
      </c>
      <c r="EO148" s="52">
        <v>0.08</v>
      </c>
      <c r="EP148" s="52">
        <v>0.02</v>
      </c>
      <c r="EQ148" s="52">
        <v>0.1</v>
      </c>
      <c r="ER148" s="52">
        <v>0.12</v>
      </c>
      <c r="ES148" s="52">
        <v>0.09</v>
      </c>
      <c r="ET148" s="52">
        <v>0.035686869</v>
      </c>
      <c r="EU148" s="52">
        <v>0.02</v>
      </c>
      <c r="EV148" s="52">
        <v>7.8</v>
      </c>
      <c r="EW148" s="52">
        <v>6.54</v>
      </c>
      <c r="EX148" s="52">
        <v>1.96</v>
      </c>
      <c r="EY148" s="52">
        <v>0.25</v>
      </c>
      <c r="EZ148" s="40"/>
      <c r="FA148" s="63"/>
      <c r="FB148" s="63"/>
      <c r="FC148" s="63"/>
      <c r="FD148" s="63"/>
      <c r="FE148" s="63"/>
      <c r="FF148" s="63"/>
      <c r="FG148" s="63"/>
      <c r="FH148" s="63"/>
      <c r="FI148" s="63"/>
      <c r="FJ148" s="63"/>
      <c r="FK148" s="63"/>
      <c r="FL148" s="63"/>
      <c r="FM148" s="63"/>
      <c r="FN148" s="63"/>
      <c r="FO148" s="63"/>
      <c r="FP148" s="63"/>
      <c r="FQ148" s="63"/>
      <c r="FR148" s="63"/>
      <c r="FS148" s="63"/>
      <c r="FT148" s="63"/>
      <c r="FU148" s="63"/>
      <c r="FV148" s="63"/>
      <c r="FW148" s="63"/>
      <c r="FX148" s="63"/>
      <c r="FY148" s="63"/>
      <c r="FZ148" s="63"/>
      <c r="GA148" s="63"/>
    </row>
    <row r="149" ht="15.75" customHeight="1">
      <c r="A149" s="20" t="s">
        <v>387</v>
      </c>
      <c r="B149" s="20"/>
      <c r="C149" s="22"/>
      <c r="D149" s="22"/>
      <c r="E149" s="22"/>
      <c r="F149" s="22"/>
      <c r="G149" s="22"/>
      <c r="H149" s="22"/>
      <c r="I149" s="22"/>
      <c r="J149" s="22"/>
      <c r="K149" s="23"/>
      <c r="L149" s="23"/>
      <c r="M149" s="23"/>
      <c r="N149" s="23"/>
      <c r="O149" s="22"/>
      <c r="P149" s="24"/>
      <c r="Q149" s="24" t="str">
        <f t="shared" si="1"/>
        <v>medium-grained, banded, white marble</v>
      </c>
      <c r="R149" s="22" t="s">
        <v>205</v>
      </c>
      <c r="S149" s="22" t="s">
        <v>189</v>
      </c>
      <c r="T149" s="76" t="s">
        <v>182</v>
      </c>
      <c r="U149" s="20" t="s">
        <v>181</v>
      </c>
      <c r="V149" s="22" t="s">
        <v>219</v>
      </c>
      <c r="W149" s="20" t="s">
        <v>166</v>
      </c>
      <c r="X149" s="22">
        <v>2.1</v>
      </c>
      <c r="Y149" s="22" t="s">
        <v>183</v>
      </c>
      <c r="Z149" s="145" t="s">
        <v>198</v>
      </c>
      <c r="AA149" s="33"/>
      <c r="AB149" s="33"/>
      <c r="AC149" s="33"/>
      <c r="AD149" s="33"/>
      <c r="AE149" s="88"/>
      <c r="AF149" s="33"/>
      <c r="AG149" s="33"/>
      <c r="AH149" s="33"/>
      <c r="AI149" s="33"/>
      <c r="AJ149" s="33"/>
      <c r="AK149" s="33"/>
      <c r="AL149" s="33"/>
      <c r="AM149" s="22"/>
      <c r="AN149" s="22"/>
      <c r="AO149" s="43">
        <f t="shared" si="9"/>
        <v>0</v>
      </c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 t="s">
        <v>164</v>
      </c>
      <c r="CW149" s="141"/>
      <c r="CX149" s="54"/>
      <c r="CY149" s="54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  <c r="ED149" s="33"/>
      <c r="EE149" s="33"/>
      <c r="EF149" s="33"/>
      <c r="EG149" s="33"/>
      <c r="EH149" s="33"/>
      <c r="EI149" s="33"/>
      <c r="EJ149" s="33"/>
      <c r="EK149" s="33"/>
      <c r="EL149" s="33"/>
      <c r="EM149" s="33"/>
      <c r="EN149" s="33"/>
      <c r="EO149" s="33"/>
      <c r="EP149" s="33"/>
      <c r="EQ149" s="33"/>
      <c r="ER149" s="33"/>
      <c r="ES149" s="33"/>
      <c r="ET149" s="33"/>
      <c r="EU149" s="33"/>
      <c r="EV149" s="33"/>
      <c r="EW149" s="33"/>
      <c r="EX149" s="33"/>
      <c r="EY149" s="33"/>
      <c r="EZ149" s="33"/>
      <c r="FA149" s="63"/>
      <c r="FB149" s="63"/>
      <c r="FC149" s="63"/>
      <c r="FD149" s="63"/>
      <c r="FE149" s="63"/>
      <c r="FF149" s="63"/>
      <c r="FG149" s="63"/>
      <c r="FH149" s="63"/>
      <c r="FI149" s="63"/>
      <c r="FJ149" s="63"/>
      <c r="FK149" s="63"/>
      <c r="FL149" s="63"/>
      <c r="FM149" s="63"/>
      <c r="FN149" s="63"/>
      <c r="FO149" s="63"/>
      <c r="FP149" s="63"/>
      <c r="FQ149" s="63"/>
      <c r="FR149" s="63"/>
      <c r="FS149" s="63"/>
      <c r="FT149" s="63"/>
      <c r="FU149" s="63"/>
      <c r="FV149" s="63"/>
      <c r="FW149" s="63"/>
      <c r="FX149" s="63"/>
      <c r="FY149" s="63"/>
      <c r="FZ149" s="63"/>
      <c r="GA149" s="63"/>
    </row>
    <row r="150" ht="15.75" customHeight="1">
      <c r="A150" s="20" t="s">
        <v>388</v>
      </c>
      <c r="B150" s="20"/>
      <c r="C150" s="22"/>
      <c r="D150" s="22"/>
      <c r="E150" s="22"/>
      <c r="F150" s="22"/>
      <c r="G150" s="22"/>
      <c r="H150" s="22"/>
      <c r="I150" s="22"/>
      <c r="J150" s="22"/>
      <c r="K150" s="23"/>
      <c r="L150" s="23"/>
      <c r="M150" s="23"/>
      <c r="N150" s="23"/>
      <c r="O150" s="22"/>
      <c r="P150" s="24"/>
      <c r="Q150" s="24" t="str">
        <f t="shared" si="1"/>
        <v>fine-grained, homogeneous, white marble</v>
      </c>
      <c r="R150" s="22" t="s">
        <v>180</v>
      </c>
      <c r="S150" s="22" t="s">
        <v>189</v>
      </c>
      <c r="T150" s="24" t="s">
        <v>194</v>
      </c>
      <c r="U150" s="22" t="s">
        <v>195</v>
      </c>
      <c r="V150" s="22" t="s">
        <v>219</v>
      </c>
      <c r="W150" s="20" t="s">
        <v>166</v>
      </c>
      <c r="X150" s="22">
        <v>0.3</v>
      </c>
      <c r="Y150" s="22" t="s">
        <v>209</v>
      </c>
      <c r="Z150" s="22" t="s">
        <v>184</v>
      </c>
      <c r="AA150" s="33"/>
      <c r="AB150" s="33"/>
      <c r="AC150" s="33"/>
      <c r="AD150" s="33"/>
      <c r="AE150" s="88"/>
      <c r="AF150" s="33"/>
      <c r="AG150" s="33"/>
      <c r="AH150" s="33"/>
      <c r="AI150" s="33"/>
      <c r="AJ150" s="33"/>
      <c r="AK150" s="33"/>
      <c r="AL150" s="33"/>
      <c r="AM150" s="22"/>
      <c r="AN150" s="22"/>
      <c r="AO150" s="43">
        <f t="shared" si="9"/>
        <v>0</v>
      </c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 t="s">
        <v>164</v>
      </c>
      <c r="CW150" s="141"/>
      <c r="CX150" s="142"/>
      <c r="CY150" s="142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  <c r="DM150" s="33"/>
      <c r="DN150" s="33"/>
      <c r="DO150" s="33"/>
      <c r="DP150" s="33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3"/>
      <c r="EC150" s="33"/>
      <c r="ED150" s="33"/>
      <c r="EE150" s="33"/>
      <c r="EF150" s="33"/>
      <c r="EG150" s="33"/>
      <c r="EH150" s="33"/>
      <c r="EI150" s="33"/>
      <c r="EJ150" s="33"/>
      <c r="EK150" s="33"/>
      <c r="EL150" s="33"/>
      <c r="EM150" s="33"/>
      <c r="EN150" s="33"/>
      <c r="EO150" s="33"/>
      <c r="EP150" s="33"/>
      <c r="EQ150" s="33"/>
      <c r="ER150" s="33"/>
      <c r="ES150" s="33"/>
      <c r="ET150" s="33"/>
      <c r="EU150" s="33"/>
      <c r="EV150" s="33"/>
      <c r="EW150" s="33"/>
      <c r="EX150" s="33"/>
      <c r="EY150" s="33"/>
      <c r="EZ150" s="33"/>
    </row>
    <row r="151" ht="15.75" customHeight="1">
      <c r="A151" s="20" t="s">
        <v>389</v>
      </c>
      <c r="B151" s="20"/>
      <c r="C151" s="22"/>
      <c r="D151" s="22"/>
      <c r="E151" s="22"/>
      <c r="F151" s="22"/>
      <c r="G151" s="22"/>
      <c r="H151" s="22"/>
      <c r="I151" s="22"/>
      <c r="J151" s="22"/>
      <c r="K151" s="23"/>
      <c r="L151" s="23"/>
      <c r="M151" s="23"/>
      <c r="N151" s="23"/>
      <c r="O151" s="22" t="s">
        <v>164</v>
      </c>
      <c r="P151" s="24"/>
      <c r="Q151" s="24" t="str">
        <f t="shared" si="1"/>
        <v>fine-grained, homogeneous, white marble</v>
      </c>
      <c r="R151" s="22" t="s">
        <v>180</v>
      </c>
      <c r="S151" s="22" t="s">
        <v>189</v>
      </c>
      <c r="T151" s="24" t="s">
        <v>194</v>
      </c>
      <c r="U151" s="22" t="s">
        <v>195</v>
      </c>
      <c r="V151" s="22" t="s">
        <v>190</v>
      </c>
      <c r="W151" s="20" t="s">
        <v>166</v>
      </c>
      <c r="X151" s="22">
        <v>0.5</v>
      </c>
      <c r="Y151" s="22" t="s">
        <v>209</v>
      </c>
      <c r="Z151" s="22" t="s">
        <v>184</v>
      </c>
      <c r="AA151" s="33"/>
      <c r="AB151" s="33"/>
      <c r="AC151" s="33" t="s">
        <v>164</v>
      </c>
      <c r="AD151" s="33" t="s">
        <v>164</v>
      </c>
      <c r="AE151" s="88"/>
      <c r="AF151" s="33" t="s">
        <v>164</v>
      </c>
      <c r="AG151" s="33" t="s">
        <v>164</v>
      </c>
      <c r="AH151" s="33" t="s">
        <v>164</v>
      </c>
      <c r="AI151" s="33" t="s">
        <v>164</v>
      </c>
      <c r="AJ151" s="33" t="s">
        <v>164</v>
      </c>
      <c r="AK151" s="33" t="s">
        <v>164</v>
      </c>
      <c r="AL151" s="33" t="s">
        <v>164</v>
      </c>
      <c r="AM151" s="22"/>
      <c r="AN151" s="22"/>
      <c r="AO151" s="43">
        <f t="shared" si="9"/>
        <v>0</v>
      </c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 t="s">
        <v>164</v>
      </c>
      <c r="BF151" s="22" t="s">
        <v>164</v>
      </c>
      <c r="BG151" s="22" t="s">
        <v>164</v>
      </c>
      <c r="BH151" s="22" t="s">
        <v>164</v>
      </c>
      <c r="BI151" s="22"/>
      <c r="BJ151" s="22" t="s">
        <v>164</v>
      </c>
      <c r="BK151" s="22"/>
      <c r="BL151" s="22" t="s">
        <v>164</v>
      </c>
      <c r="BM151" s="22"/>
      <c r="BN151" s="22" t="s">
        <v>164</v>
      </c>
      <c r="BO151" s="22"/>
      <c r="BP151" s="22"/>
      <c r="BQ151" s="22"/>
      <c r="BR151" s="22" t="s">
        <v>164</v>
      </c>
      <c r="BS151" s="22"/>
      <c r="BT151" s="22" t="s">
        <v>164</v>
      </c>
      <c r="BU151" s="22"/>
      <c r="BV151" s="22"/>
      <c r="BW151" s="22"/>
      <c r="BX151" s="22" t="s">
        <v>164</v>
      </c>
      <c r="BY151" s="22"/>
      <c r="BZ151" s="22" t="s">
        <v>164</v>
      </c>
      <c r="CA151" s="22"/>
      <c r="CB151" s="22" t="s">
        <v>164</v>
      </c>
      <c r="CC151" s="22"/>
      <c r="CD151" s="22" t="s">
        <v>164</v>
      </c>
      <c r="CE151" s="33" t="s">
        <v>164</v>
      </c>
      <c r="CF151" s="33" t="s">
        <v>164</v>
      </c>
      <c r="CG151" s="33" t="s">
        <v>164</v>
      </c>
      <c r="CH151" s="33" t="s">
        <v>164</v>
      </c>
      <c r="CI151" s="33" t="s">
        <v>164</v>
      </c>
      <c r="CJ151" s="33" t="s">
        <v>164</v>
      </c>
      <c r="CK151" s="33" t="s">
        <v>164</v>
      </c>
      <c r="CL151" s="33" t="s">
        <v>164</v>
      </c>
      <c r="CM151" s="33" t="s">
        <v>164</v>
      </c>
      <c r="CN151" s="33" t="s">
        <v>164</v>
      </c>
      <c r="CO151" s="33" t="s">
        <v>164</v>
      </c>
      <c r="CP151" s="33" t="s">
        <v>164</v>
      </c>
      <c r="CQ151" s="33" t="s">
        <v>164</v>
      </c>
      <c r="CR151" s="33" t="s">
        <v>164</v>
      </c>
      <c r="CS151" s="33" t="s">
        <v>164</v>
      </c>
      <c r="CT151" s="33" t="s">
        <v>164</v>
      </c>
      <c r="CU151" s="33" t="s">
        <v>164</v>
      </c>
      <c r="CV151" s="33" t="s">
        <v>164</v>
      </c>
      <c r="CW151" s="146" t="s">
        <v>166</v>
      </c>
      <c r="CX151" s="38">
        <v>3.13</v>
      </c>
      <c r="CY151" s="38">
        <v>-5.59</v>
      </c>
      <c r="CZ151" s="33"/>
      <c r="DA151" s="33" t="s">
        <v>164</v>
      </c>
      <c r="DB151" s="33" t="s">
        <v>164</v>
      </c>
      <c r="DC151" s="33" t="s">
        <v>164</v>
      </c>
      <c r="DD151" s="33" t="s">
        <v>164</v>
      </c>
      <c r="DE151" s="33" t="s">
        <v>164</v>
      </c>
      <c r="DF151" s="33" t="s">
        <v>164</v>
      </c>
      <c r="DG151" s="33" t="s">
        <v>164</v>
      </c>
      <c r="DH151" s="33" t="s">
        <v>164</v>
      </c>
      <c r="DI151" s="33" t="s">
        <v>164</v>
      </c>
      <c r="DJ151" s="147"/>
      <c r="DK151" s="63"/>
      <c r="DL151" s="63"/>
      <c r="DM151" s="63"/>
      <c r="DN151" s="63"/>
      <c r="DO151" s="63"/>
      <c r="DP151" s="63"/>
      <c r="DQ151" s="63"/>
      <c r="DR151" s="63"/>
      <c r="DS151" s="63"/>
      <c r="DT151" s="63"/>
      <c r="DU151" s="63"/>
      <c r="DV151" s="63"/>
      <c r="DW151" s="63"/>
      <c r="DX151" s="63"/>
      <c r="DY151" s="63"/>
      <c r="DZ151" s="63"/>
      <c r="EA151" s="63"/>
      <c r="EB151" s="63"/>
      <c r="EC151" s="63"/>
      <c r="ED151" s="63"/>
      <c r="EE151" s="63"/>
      <c r="EF151" s="63"/>
      <c r="EG151" s="63"/>
      <c r="EH151" s="63"/>
      <c r="EI151" s="63"/>
      <c r="EJ151" s="63"/>
      <c r="EK151" s="63"/>
      <c r="EL151" s="63"/>
      <c r="EM151" s="63"/>
      <c r="EN151" s="63"/>
      <c r="EO151" s="63"/>
      <c r="EP151" s="63"/>
      <c r="EQ151" s="63"/>
      <c r="ER151" s="63"/>
      <c r="ES151" s="63"/>
      <c r="ET151" s="63"/>
      <c r="EU151" s="63"/>
      <c r="EV151" s="63"/>
      <c r="EW151" s="63"/>
      <c r="EX151" s="63"/>
      <c r="EY151" s="63"/>
      <c r="EZ151" s="33"/>
    </row>
    <row r="152" ht="15.75" customHeight="1">
      <c r="A152" s="20" t="s">
        <v>390</v>
      </c>
      <c r="B152" s="20"/>
      <c r="C152" s="22"/>
      <c r="D152" s="22"/>
      <c r="E152" s="22"/>
      <c r="F152" s="22"/>
      <c r="G152" s="22"/>
      <c r="H152" s="22"/>
      <c r="I152" s="22"/>
      <c r="J152" s="22"/>
      <c r="K152" s="23"/>
      <c r="L152" s="23"/>
      <c r="M152" s="23"/>
      <c r="N152" s="23"/>
      <c r="O152" s="22"/>
      <c r="P152" s="24"/>
      <c r="Q152" s="24" t="str">
        <f t="shared" si="1"/>
        <v>medium-grained, banded, white marble</v>
      </c>
      <c r="R152" s="20" t="s">
        <v>205</v>
      </c>
      <c r="S152" s="20" t="s">
        <v>189</v>
      </c>
      <c r="T152" s="20" t="s">
        <v>182</v>
      </c>
      <c r="U152" s="20" t="s">
        <v>181</v>
      </c>
      <c r="V152" s="22"/>
      <c r="W152" s="20" t="s">
        <v>166</v>
      </c>
      <c r="X152" s="20">
        <v>2.3</v>
      </c>
      <c r="Y152" s="20" t="s">
        <v>183</v>
      </c>
      <c r="Z152" s="20" t="s">
        <v>213</v>
      </c>
      <c r="AA152" s="33"/>
      <c r="AB152" s="33"/>
      <c r="AC152" s="33"/>
      <c r="AD152" s="33"/>
      <c r="AE152" s="88"/>
      <c r="AF152" s="33"/>
      <c r="AG152" s="33"/>
      <c r="AH152" s="33"/>
      <c r="AI152" s="33"/>
      <c r="AJ152" s="33"/>
      <c r="AK152" s="33"/>
      <c r="AL152" s="33"/>
      <c r="AM152" s="22"/>
      <c r="AN152" s="22"/>
      <c r="AO152" s="43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33"/>
      <c r="CF152" s="33"/>
      <c r="CG152" s="33"/>
      <c r="CH152" s="33"/>
      <c r="CI152" s="33"/>
      <c r="CJ152" s="33"/>
      <c r="CK152" s="33"/>
      <c r="CL152" s="33"/>
      <c r="CM152" s="33"/>
      <c r="CN152" s="33"/>
      <c r="CO152" s="33"/>
      <c r="CP152" s="33"/>
      <c r="CQ152" s="33"/>
      <c r="CR152" s="33"/>
      <c r="CS152" s="33"/>
      <c r="CT152" s="33"/>
      <c r="CU152" s="33"/>
      <c r="CV152" s="33"/>
      <c r="CW152" s="46"/>
      <c r="CX152" s="54"/>
      <c r="CY152" s="54"/>
      <c r="CZ152" s="33"/>
      <c r="DA152" s="33"/>
      <c r="DB152" s="33"/>
      <c r="DC152" s="33"/>
      <c r="DD152" s="33"/>
      <c r="DE152" s="33"/>
      <c r="DF152" s="33"/>
      <c r="DG152" s="33"/>
      <c r="DH152" s="33"/>
      <c r="DI152" s="33"/>
      <c r="DJ152" s="147"/>
      <c r="DK152" s="63"/>
      <c r="DL152" s="63"/>
      <c r="DM152" s="63"/>
      <c r="DN152" s="63"/>
      <c r="DO152" s="63"/>
      <c r="DP152" s="63"/>
      <c r="DQ152" s="63"/>
      <c r="DR152" s="63"/>
      <c r="DS152" s="63"/>
      <c r="DT152" s="63"/>
      <c r="DU152" s="63"/>
      <c r="DV152" s="63"/>
      <c r="DW152" s="63"/>
      <c r="DX152" s="63"/>
      <c r="DY152" s="63"/>
      <c r="DZ152" s="63"/>
      <c r="EA152" s="63"/>
      <c r="EB152" s="63"/>
      <c r="EC152" s="63"/>
      <c r="ED152" s="63"/>
      <c r="EE152" s="63"/>
      <c r="EF152" s="63"/>
      <c r="EG152" s="63"/>
      <c r="EH152" s="63"/>
      <c r="EI152" s="63"/>
      <c r="EJ152" s="63"/>
      <c r="EK152" s="63"/>
      <c r="EL152" s="63"/>
      <c r="EM152" s="63"/>
      <c r="EN152" s="63"/>
      <c r="EO152" s="63"/>
      <c r="EP152" s="63"/>
      <c r="EQ152" s="63"/>
      <c r="ER152" s="63"/>
      <c r="ES152" s="63"/>
      <c r="ET152" s="63"/>
      <c r="EU152" s="63"/>
      <c r="EV152" s="63"/>
      <c r="EW152" s="63"/>
      <c r="EX152" s="63"/>
      <c r="EY152" s="63"/>
      <c r="EZ152" s="33"/>
    </row>
    <row r="153" ht="15.75" customHeight="1">
      <c r="A153" s="20" t="s">
        <v>391</v>
      </c>
      <c r="B153" s="20"/>
      <c r="C153" s="22"/>
      <c r="D153" s="22"/>
      <c r="E153" s="22"/>
      <c r="F153" s="22"/>
      <c r="G153" s="22"/>
      <c r="H153" s="22"/>
      <c r="I153" s="22"/>
      <c r="J153" s="22"/>
      <c r="K153" s="23"/>
      <c r="L153" s="23"/>
      <c r="M153" s="23"/>
      <c r="N153" s="23"/>
      <c r="O153" s="22"/>
      <c r="P153" s="24"/>
      <c r="Q153" s="24" t="str">
        <f t="shared" si="1"/>
        <v>very fine-grained, veined, white marble</v>
      </c>
      <c r="R153" s="20" t="s">
        <v>188</v>
      </c>
      <c r="S153" s="20" t="s">
        <v>189</v>
      </c>
      <c r="T153" s="20" t="s">
        <v>206</v>
      </c>
      <c r="U153" s="20" t="s">
        <v>181</v>
      </c>
      <c r="V153" s="22"/>
      <c r="W153" s="20" t="s">
        <v>166</v>
      </c>
      <c r="X153" s="20">
        <v>0.2</v>
      </c>
      <c r="Y153" s="20" t="s">
        <v>219</v>
      </c>
      <c r="Z153" s="20" t="s">
        <v>219</v>
      </c>
      <c r="AA153" s="33"/>
      <c r="AB153" s="33"/>
      <c r="AC153" s="33"/>
      <c r="AD153" s="33"/>
      <c r="AE153" s="88"/>
      <c r="AF153" s="33"/>
      <c r="AG153" s="33"/>
      <c r="AH153" s="33"/>
      <c r="AI153" s="33"/>
      <c r="AJ153" s="33"/>
      <c r="AK153" s="33"/>
      <c r="AL153" s="33"/>
      <c r="AM153" s="22"/>
      <c r="AN153" s="22"/>
      <c r="AO153" s="43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33"/>
      <c r="CF153" s="33"/>
      <c r="CG153" s="33"/>
      <c r="CH153" s="33"/>
      <c r="CI153" s="33"/>
      <c r="CJ153" s="33"/>
      <c r="CK153" s="33"/>
      <c r="CL153" s="33"/>
      <c r="CM153" s="33"/>
      <c r="CN153" s="33"/>
      <c r="CO153" s="33"/>
      <c r="CP153" s="33"/>
      <c r="CQ153" s="33"/>
      <c r="CR153" s="33"/>
      <c r="CS153" s="33"/>
      <c r="CT153" s="33"/>
      <c r="CU153" s="33"/>
      <c r="CV153" s="33"/>
      <c r="CW153" s="90"/>
      <c r="CX153" s="54"/>
      <c r="CY153" s="54"/>
      <c r="CZ153" s="33"/>
      <c r="DA153" s="33"/>
      <c r="DB153" s="33"/>
      <c r="DC153" s="33"/>
      <c r="DD153" s="33"/>
      <c r="DE153" s="33"/>
      <c r="DF153" s="33"/>
      <c r="DG153" s="33"/>
      <c r="DH153" s="33"/>
      <c r="DI153" s="33"/>
      <c r="DJ153" s="134"/>
      <c r="DK153" s="63"/>
      <c r="DL153" s="63"/>
      <c r="DM153" s="63"/>
      <c r="DN153" s="63"/>
      <c r="DO153" s="63"/>
      <c r="DP153" s="63"/>
      <c r="DQ153" s="63"/>
      <c r="DR153" s="63"/>
      <c r="DS153" s="63"/>
      <c r="DT153" s="63"/>
      <c r="DU153" s="63"/>
      <c r="DV153" s="63"/>
      <c r="DW153" s="63"/>
      <c r="DX153" s="63"/>
      <c r="DY153" s="63"/>
      <c r="DZ153" s="63"/>
      <c r="EA153" s="63"/>
      <c r="EB153" s="63"/>
      <c r="EC153" s="63"/>
      <c r="ED153" s="63"/>
      <c r="EE153" s="63"/>
      <c r="EF153" s="63"/>
      <c r="EG153" s="63"/>
      <c r="EH153" s="63"/>
      <c r="EI153" s="63"/>
      <c r="EJ153" s="63"/>
      <c r="EK153" s="63"/>
      <c r="EL153" s="63"/>
      <c r="EM153" s="63"/>
      <c r="EN153" s="63"/>
      <c r="EO153" s="63"/>
      <c r="EP153" s="63"/>
      <c r="EQ153" s="63"/>
      <c r="ER153" s="63"/>
      <c r="ES153" s="63"/>
      <c r="ET153" s="63"/>
      <c r="EU153" s="63"/>
      <c r="EV153" s="63"/>
      <c r="EW153" s="63"/>
      <c r="EX153" s="63"/>
      <c r="EY153" s="63"/>
      <c r="EZ153" s="33"/>
    </row>
    <row r="154" ht="15.75" customHeight="1">
      <c r="A154" s="20" t="s">
        <v>392</v>
      </c>
      <c r="B154" s="20"/>
      <c r="C154" s="22"/>
      <c r="D154" s="22"/>
      <c r="E154" s="22"/>
      <c r="F154" s="22"/>
      <c r="G154" s="22"/>
      <c r="H154" s="22"/>
      <c r="I154" s="22"/>
      <c r="J154" s="22"/>
      <c r="K154" s="23"/>
      <c r="L154" s="23"/>
      <c r="M154" s="23"/>
      <c r="N154" s="23"/>
      <c r="O154" s="22"/>
      <c r="P154" s="24"/>
      <c r="Q154" s="24" t="str">
        <f t="shared" si="1"/>
        <v>medium-grained, homogeneous, white marble</v>
      </c>
      <c r="R154" s="20" t="s">
        <v>205</v>
      </c>
      <c r="S154" s="20" t="s">
        <v>189</v>
      </c>
      <c r="T154" s="20" t="s">
        <v>194</v>
      </c>
      <c r="U154" s="20" t="s">
        <v>195</v>
      </c>
      <c r="V154" s="22"/>
      <c r="W154" s="20" t="s">
        <v>166</v>
      </c>
      <c r="X154" s="20">
        <v>2.0</v>
      </c>
      <c r="Y154" s="20" t="s">
        <v>191</v>
      </c>
      <c r="Z154" s="20" t="s">
        <v>184</v>
      </c>
      <c r="AA154" s="33"/>
      <c r="AB154" s="33"/>
      <c r="AC154" s="33"/>
      <c r="AD154" s="33"/>
      <c r="AE154" s="88"/>
      <c r="AF154" s="33"/>
      <c r="AG154" s="33"/>
      <c r="AH154" s="33"/>
      <c r="AI154" s="33"/>
      <c r="AJ154" s="33"/>
      <c r="AK154" s="33"/>
      <c r="AL154" s="33"/>
      <c r="AM154" s="22"/>
      <c r="AN154" s="22"/>
      <c r="AO154" s="43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141"/>
      <c r="CX154" s="54"/>
      <c r="CY154" s="54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134"/>
      <c r="DK154" s="63"/>
      <c r="DL154" s="63"/>
      <c r="DM154" s="63"/>
      <c r="DN154" s="63"/>
      <c r="DO154" s="63"/>
      <c r="DP154" s="63"/>
      <c r="DQ154" s="63"/>
      <c r="DR154" s="63"/>
      <c r="DS154" s="63"/>
      <c r="DT154" s="63"/>
      <c r="DU154" s="63"/>
      <c r="DV154" s="63"/>
      <c r="DW154" s="63"/>
      <c r="DX154" s="63"/>
      <c r="DY154" s="63"/>
      <c r="DZ154" s="63"/>
      <c r="EA154" s="63"/>
      <c r="EB154" s="63"/>
      <c r="EC154" s="63"/>
      <c r="ED154" s="63"/>
      <c r="EE154" s="63"/>
      <c r="EF154" s="63"/>
      <c r="EG154" s="63"/>
      <c r="EH154" s="63"/>
      <c r="EI154" s="63"/>
      <c r="EJ154" s="63"/>
      <c r="EK154" s="63"/>
      <c r="EL154" s="63"/>
      <c r="EM154" s="63"/>
      <c r="EN154" s="63"/>
      <c r="EO154" s="63"/>
      <c r="EP154" s="63"/>
      <c r="EQ154" s="63"/>
      <c r="ER154" s="63"/>
      <c r="ES154" s="63"/>
      <c r="ET154" s="63"/>
      <c r="EU154" s="63"/>
      <c r="EV154" s="63"/>
      <c r="EW154" s="63"/>
      <c r="EX154" s="63"/>
      <c r="EY154" s="63"/>
      <c r="EZ154" s="33"/>
      <c r="FA154" s="33"/>
      <c r="FB154" s="33"/>
      <c r="FC154" s="33"/>
      <c r="FD154" s="33"/>
      <c r="FE154" s="33"/>
      <c r="FF154" s="33"/>
      <c r="FG154" s="33"/>
      <c r="FH154" s="33"/>
      <c r="FI154" s="33"/>
      <c r="FJ154" s="33"/>
      <c r="FK154" s="33"/>
      <c r="FL154" s="33"/>
      <c r="FM154" s="33"/>
      <c r="FN154" s="33"/>
      <c r="FO154" s="33"/>
      <c r="FP154" s="33"/>
      <c r="FQ154" s="33"/>
      <c r="FR154" s="33"/>
      <c r="FS154" s="33"/>
      <c r="FT154" s="33"/>
      <c r="FU154" s="33"/>
      <c r="FV154" s="33"/>
      <c r="FW154" s="33"/>
      <c r="FX154" s="33"/>
      <c r="FY154" s="33"/>
      <c r="FZ154" s="33"/>
      <c r="GA154" s="33"/>
    </row>
    <row r="155" ht="15.75" customHeight="1">
      <c r="A155" s="20" t="s">
        <v>393</v>
      </c>
      <c r="B155" s="20"/>
      <c r="C155" s="22"/>
      <c r="D155" s="22"/>
      <c r="E155" s="22"/>
      <c r="F155" s="22"/>
      <c r="G155" s="22"/>
      <c r="H155" s="22"/>
      <c r="I155" s="22"/>
      <c r="J155" s="22"/>
      <c r="K155" s="23"/>
      <c r="L155" s="23"/>
      <c r="M155" s="23"/>
      <c r="N155" s="23"/>
      <c r="O155" s="22"/>
      <c r="P155" s="24"/>
      <c r="Q155" s="24" t="str">
        <f t="shared" si="1"/>
        <v>very fine-grained, homogeneous, white marble</v>
      </c>
      <c r="R155" s="20" t="s">
        <v>188</v>
      </c>
      <c r="S155" s="20" t="s">
        <v>189</v>
      </c>
      <c r="T155" s="20" t="s">
        <v>194</v>
      </c>
      <c r="U155" s="20" t="s">
        <v>195</v>
      </c>
      <c r="V155" s="22"/>
      <c r="W155" s="20" t="s">
        <v>166</v>
      </c>
      <c r="X155" s="20">
        <v>0.2</v>
      </c>
      <c r="Y155" s="20" t="s">
        <v>209</v>
      </c>
      <c r="Z155" s="20" t="s">
        <v>219</v>
      </c>
      <c r="AA155" s="33"/>
      <c r="AB155" s="33"/>
      <c r="AC155" s="33"/>
      <c r="AD155" s="33"/>
      <c r="AE155" s="88"/>
      <c r="AF155" s="33"/>
      <c r="AG155" s="33"/>
      <c r="AH155" s="33"/>
      <c r="AI155" s="33"/>
      <c r="AJ155" s="33"/>
      <c r="AK155" s="33"/>
      <c r="AL155" s="33"/>
      <c r="AM155" s="22"/>
      <c r="AN155" s="22"/>
      <c r="AO155" s="43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141"/>
      <c r="CX155" s="54"/>
      <c r="CY155" s="54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134"/>
      <c r="DK155" s="63"/>
      <c r="DL155" s="63"/>
      <c r="DM155" s="63"/>
      <c r="DN155" s="63"/>
      <c r="DO155" s="63"/>
      <c r="DP155" s="63"/>
      <c r="DQ155" s="63"/>
      <c r="DR155" s="63"/>
      <c r="DS155" s="63"/>
      <c r="DT155" s="63"/>
      <c r="DU155" s="63"/>
      <c r="DV155" s="63"/>
      <c r="DW155" s="63"/>
      <c r="DX155" s="63"/>
      <c r="DY155" s="63"/>
      <c r="DZ155" s="63"/>
      <c r="EA155" s="63"/>
      <c r="EB155" s="63"/>
      <c r="EC155" s="63"/>
      <c r="ED155" s="63"/>
      <c r="EE155" s="63"/>
      <c r="EF155" s="63"/>
      <c r="EG155" s="63"/>
      <c r="EH155" s="63"/>
      <c r="EI155" s="63"/>
      <c r="EJ155" s="63"/>
      <c r="EK155" s="63"/>
      <c r="EL155" s="63"/>
      <c r="EM155" s="63"/>
      <c r="EN155" s="63"/>
      <c r="EO155" s="63"/>
      <c r="EP155" s="63"/>
      <c r="EQ155" s="63"/>
      <c r="ER155" s="63"/>
      <c r="ES155" s="63"/>
      <c r="ET155" s="63"/>
      <c r="EU155" s="63"/>
      <c r="EV155" s="63"/>
      <c r="EW155" s="63"/>
      <c r="EX155" s="63"/>
      <c r="EY155" s="63"/>
      <c r="EZ155" s="33"/>
      <c r="FA155" s="33"/>
      <c r="FB155" s="33"/>
      <c r="FC155" s="33"/>
      <c r="FD155" s="33"/>
      <c r="FE155" s="33"/>
      <c r="FF155" s="33"/>
      <c r="FG155" s="33"/>
      <c r="FH155" s="33"/>
      <c r="FI155" s="33"/>
      <c r="FJ155" s="33"/>
      <c r="FK155" s="33"/>
      <c r="FL155" s="33"/>
      <c r="FM155" s="33"/>
      <c r="FN155" s="33"/>
      <c r="FO155" s="33"/>
      <c r="FP155" s="33"/>
      <c r="FQ155" s="33"/>
      <c r="FR155" s="33"/>
      <c r="FS155" s="33"/>
      <c r="FT155" s="33"/>
      <c r="FU155" s="33"/>
      <c r="FV155" s="33"/>
      <c r="FW155" s="33"/>
      <c r="FX155" s="33"/>
      <c r="FY155" s="33"/>
      <c r="FZ155" s="33"/>
      <c r="GA155" s="33"/>
    </row>
    <row r="156" ht="15.75" customHeight="1">
      <c r="A156" s="20" t="s">
        <v>394</v>
      </c>
      <c r="B156" s="20"/>
      <c r="C156" s="22"/>
      <c r="D156" s="22"/>
      <c r="E156" s="22"/>
      <c r="F156" s="22"/>
      <c r="G156" s="22"/>
      <c r="H156" s="22"/>
      <c r="I156" s="22"/>
      <c r="J156" s="22"/>
      <c r="K156" s="48" t="s">
        <v>225</v>
      </c>
      <c r="L156" s="23"/>
      <c r="M156" s="23"/>
      <c r="N156" s="23"/>
      <c r="O156" s="22"/>
      <c r="P156" s="24"/>
      <c r="Q156" s="24" t="str">
        <f t="shared" si="1"/>
        <v>fine-grained, banded, white marble</v>
      </c>
      <c r="R156" s="20" t="s">
        <v>180</v>
      </c>
      <c r="S156" s="20" t="s">
        <v>189</v>
      </c>
      <c r="T156" s="20" t="s">
        <v>182</v>
      </c>
      <c r="U156" s="20" t="s">
        <v>181</v>
      </c>
      <c r="V156" s="22"/>
      <c r="W156" s="20" t="s">
        <v>166</v>
      </c>
      <c r="X156" s="20">
        <v>0.5</v>
      </c>
      <c r="Y156" s="20" t="s">
        <v>196</v>
      </c>
      <c r="Z156" s="20" t="s">
        <v>184</v>
      </c>
      <c r="AA156" s="33"/>
      <c r="AB156" s="50" t="s">
        <v>166</v>
      </c>
      <c r="AC156" s="50">
        <v>0.5</v>
      </c>
      <c r="AD156" s="50" t="s">
        <v>196</v>
      </c>
      <c r="AE156" s="36" t="s">
        <v>245</v>
      </c>
      <c r="AF156" s="50" t="s">
        <v>166</v>
      </c>
      <c r="AG156" s="50" t="s">
        <v>166</v>
      </c>
      <c r="AH156" s="33"/>
      <c r="AI156" s="33"/>
      <c r="AJ156" s="33"/>
      <c r="AK156" s="33"/>
      <c r="AL156" s="33"/>
      <c r="AM156" s="22"/>
      <c r="AN156" s="22"/>
      <c r="AO156" s="43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140" t="s">
        <v>166</v>
      </c>
      <c r="CX156" s="38">
        <v>2.15</v>
      </c>
      <c r="CY156" s="38">
        <v>-1.04</v>
      </c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134" t="s">
        <v>166</v>
      </c>
      <c r="DK156" s="52">
        <v>1.51</v>
      </c>
      <c r="DL156" s="52">
        <v>3.48</v>
      </c>
      <c r="DM156" s="52">
        <v>67.38</v>
      </c>
      <c r="DN156" s="52">
        <v>3148.46</v>
      </c>
      <c r="DO156" s="52">
        <v>0.086458418</v>
      </c>
      <c r="DP156" s="52">
        <v>536.74</v>
      </c>
      <c r="DQ156" s="52">
        <v>1.24</v>
      </c>
      <c r="DR156" s="52">
        <v>5.05</v>
      </c>
      <c r="DS156" s="52">
        <v>25.48</v>
      </c>
      <c r="DT156" s="52">
        <v>242.02</v>
      </c>
      <c r="DU156" s="52">
        <v>0.57</v>
      </c>
      <c r="DV156" s="52">
        <v>1.59</v>
      </c>
      <c r="DW156" s="52">
        <v>1.71</v>
      </c>
      <c r="DX156" s="52">
        <v>7.75</v>
      </c>
      <c r="DY156" s="52">
        <v>0.18</v>
      </c>
      <c r="DZ156" s="52">
        <v>0.21</v>
      </c>
      <c r="EA156" s="52">
        <v>0.56</v>
      </c>
      <c r="EB156" s="52">
        <v>167.67</v>
      </c>
      <c r="EC156" s="52">
        <v>1.13</v>
      </c>
      <c r="ED156" s="52">
        <v>1.77</v>
      </c>
      <c r="EE156" s="52">
        <v>0.23</v>
      </c>
      <c r="EF156" s="52">
        <v>0.03</v>
      </c>
      <c r="EG156" s="52">
        <v>0.31</v>
      </c>
      <c r="EH156" s="52">
        <v>0.09</v>
      </c>
      <c r="EI156" s="52">
        <v>0.05</v>
      </c>
      <c r="EJ156" s="52">
        <v>5.14</v>
      </c>
      <c r="EK156" s="52">
        <v>0.97</v>
      </c>
      <c r="EL156" s="52">
        <v>1.14</v>
      </c>
      <c r="EM156" s="52">
        <v>0.57</v>
      </c>
      <c r="EN156" s="52">
        <v>0.11</v>
      </c>
      <c r="EO156" s="52">
        <v>0.03</v>
      </c>
      <c r="EP156" s="52">
        <v>0.11</v>
      </c>
      <c r="EQ156" s="52">
        <v>0.11</v>
      </c>
      <c r="ER156" s="52">
        <v>0.09</v>
      </c>
      <c r="ES156" s="52">
        <v>0.08</v>
      </c>
      <c r="ET156" s="52">
        <v>0.010739977</v>
      </c>
      <c r="EU156" s="52">
        <v>38.51</v>
      </c>
      <c r="EV156" s="52">
        <v>6.86</v>
      </c>
      <c r="EW156" s="52">
        <v>3.53</v>
      </c>
      <c r="EX156" s="52">
        <v>0.15</v>
      </c>
      <c r="EY156" s="52">
        <v>0.08</v>
      </c>
      <c r="EZ156" s="33"/>
      <c r="FA156" s="33"/>
      <c r="FB156" s="33"/>
      <c r="FC156" s="33"/>
      <c r="FD156" s="33"/>
      <c r="FE156" s="33"/>
      <c r="FF156" s="33"/>
      <c r="FG156" s="33"/>
      <c r="FH156" s="33"/>
      <c r="FI156" s="33"/>
      <c r="FJ156" s="33"/>
      <c r="FK156" s="33"/>
      <c r="FL156" s="33"/>
      <c r="FM156" s="33"/>
      <c r="FN156" s="33"/>
      <c r="FO156" s="33"/>
      <c r="FP156" s="33"/>
      <c r="FQ156" s="33"/>
      <c r="FR156" s="33"/>
      <c r="FS156" s="33"/>
      <c r="FT156" s="33"/>
      <c r="FU156" s="33"/>
      <c r="FV156" s="33"/>
      <c r="FW156" s="33"/>
      <c r="FX156" s="33"/>
      <c r="FY156" s="33"/>
      <c r="FZ156" s="33"/>
      <c r="GA156" s="33"/>
    </row>
    <row r="157" ht="15.75" customHeight="1">
      <c r="A157" s="20" t="s">
        <v>395</v>
      </c>
      <c r="B157" s="20"/>
      <c r="C157" s="22"/>
      <c r="D157" s="22"/>
      <c r="E157" s="22"/>
      <c r="F157" s="22"/>
      <c r="G157" s="22"/>
      <c r="H157" s="22"/>
      <c r="I157" s="22"/>
      <c r="J157" s="22"/>
      <c r="K157" s="23"/>
      <c r="L157" s="23"/>
      <c r="M157" s="23"/>
      <c r="N157" s="23"/>
      <c r="O157" s="22"/>
      <c r="P157" s="24"/>
      <c r="Q157" s="24" t="str">
        <f t="shared" si="1"/>
        <v>medium-grained, banded, white marble</v>
      </c>
      <c r="R157" s="20" t="s">
        <v>205</v>
      </c>
      <c r="S157" s="20" t="s">
        <v>189</v>
      </c>
      <c r="T157" s="20" t="s">
        <v>182</v>
      </c>
      <c r="U157" s="20" t="s">
        <v>181</v>
      </c>
      <c r="V157" s="22"/>
      <c r="W157" s="20" t="s">
        <v>166</v>
      </c>
      <c r="X157" s="20">
        <v>2.7</v>
      </c>
      <c r="Y157" s="20" t="s">
        <v>183</v>
      </c>
      <c r="Z157" s="20" t="s">
        <v>213</v>
      </c>
      <c r="AA157" s="33"/>
      <c r="AB157" s="33"/>
      <c r="AC157" s="33"/>
      <c r="AD157" s="33"/>
      <c r="AE157" s="88"/>
      <c r="AF157" s="33"/>
      <c r="AG157" s="33"/>
      <c r="AH157" s="33"/>
      <c r="AI157" s="33"/>
      <c r="AJ157" s="33"/>
      <c r="AK157" s="33"/>
      <c r="AL157" s="33"/>
      <c r="AM157" s="22"/>
      <c r="AN157" s="22"/>
      <c r="AO157" s="43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141"/>
      <c r="CX157" s="54"/>
      <c r="CY157" s="54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134"/>
      <c r="DK157" s="63"/>
      <c r="DL157" s="63"/>
      <c r="DM157" s="63"/>
      <c r="DN157" s="63"/>
      <c r="DO157" s="63"/>
      <c r="DP157" s="63"/>
      <c r="DQ157" s="63"/>
      <c r="DR157" s="63"/>
      <c r="DS157" s="63"/>
      <c r="DT157" s="63"/>
      <c r="DU157" s="63"/>
      <c r="DV157" s="63"/>
      <c r="DW157" s="63"/>
      <c r="DX157" s="63"/>
      <c r="DY157" s="63"/>
      <c r="DZ157" s="63"/>
      <c r="EA157" s="63"/>
      <c r="EB157" s="63"/>
      <c r="EC157" s="63"/>
      <c r="ED157" s="63"/>
      <c r="EE157" s="63"/>
      <c r="EF157" s="63"/>
      <c r="EG157" s="63"/>
      <c r="EH157" s="63"/>
      <c r="EI157" s="63"/>
      <c r="EJ157" s="63"/>
      <c r="EK157" s="63"/>
      <c r="EL157" s="63"/>
      <c r="EM157" s="63"/>
      <c r="EN157" s="63"/>
      <c r="EO157" s="63"/>
      <c r="EP157" s="63"/>
      <c r="EQ157" s="63"/>
      <c r="ER157" s="63"/>
      <c r="ES157" s="63"/>
      <c r="ET157" s="63"/>
      <c r="EU157" s="63"/>
      <c r="EV157" s="63"/>
      <c r="EW157" s="63"/>
      <c r="EX157" s="63"/>
      <c r="EY157" s="63"/>
      <c r="EZ157" s="33"/>
      <c r="FA157" s="33"/>
      <c r="FB157" s="33"/>
      <c r="FC157" s="33"/>
      <c r="FD157" s="33"/>
      <c r="FE157" s="33"/>
      <c r="FF157" s="33"/>
      <c r="FG157" s="33"/>
      <c r="FH157" s="33"/>
      <c r="FI157" s="33"/>
      <c r="FJ157" s="33"/>
      <c r="FK157" s="33"/>
      <c r="FL157" s="33"/>
      <c r="FM157" s="33"/>
      <c r="FN157" s="33"/>
      <c r="FO157" s="33"/>
      <c r="FP157" s="33"/>
      <c r="FQ157" s="33"/>
      <c r="FR157" s="33"/>
      <c r="FS157" s="33"/>
      <c r="FT157" s="33"/>
      <c r="FU157" s="33"/>
      <c r="FV157" s="33"/>
      <c r="FW157" s="33"/>
      <c r="FX157" s="33"/>
      <c r="FY157" s="33"/>
      <c r="FZ157" s="33"/>
      <c r="GA157" s="33"/>
    </row>
    <row r="158" ht="15.75" customHeight="1">
      <c r="A158" s="20" t="s">
        <v>396</v>
      </c>
      <c r="B158" s="20"/>
      <c r="C158" s="22"/>
      <c r="D158" s="22"/>
      <c r="E158" s="22"/>
      <c r="F158" s="22"/>
      <c r="G158" s="22"/>
      <c r="H158" s="22"/>
      <c r="I158" s="22"/>
      <c r="J158" s="22"/>
      <c r="K158" s="23"/>
      <c r="L158" s="23"/>
      <c r="M158" s="23"/>
      <c r="N158" s="23"/>
      <c r="O158" s="22"/>
      <c r="P158" s="24"/>
      <c r="Q158" s="24" t="str">
        <f t="shared" si="1"/>
        <v>very fine-grained, homogeneous, white marble</v>
      </c>
      <c r="R158" s="20" t="s">
        <v>188</v>
      </c>
      <c r="S158" s="20" t="s">
        <v>189</v>
      </c>
      <c r="T158" s="20" t="s">
        <v>194</v>
      </c>
      <c r="U158" s="20" t="s">
        <v>195</v>
      </c>
      <c r="V158" s="22"/>
      <c r="W158" s="20" t="s">
        <v>166</v>
      </c>
      <c r="X158" s="20">
        <v>0.5</v>
      </c>
      <c r="Y158" s="20" t="s">
        <v>196</v>
      </c>
      <c r="Z158" s="20" t="s">
        <v>184</v>
      </c>
      <c r="AA158" s="33"/>
      <c r="AB158" s="33"/>
      <c r="AC158" s="33"/>
      <c r="AD158" s="33"/>
      <c r="AE158" s="88"/>
      <c r="AF158" s="33"/>
      <c r="AG158" s="33"/>
      <c r="AH158" s="33"/>
      <c r="AI158" s="33"/>
      <c r="AJ158" s="33"/>
      <c r="AK158" s="33"/>
      <c r="AL158" s="33"/>
      <c r="AM158" s="22"/>
      <c r="AN158" s="22"/>
      <c r="AO158" s="43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141"/>
      <c r="CX158" s="54"/>
      <c r="CY158" s="54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134"/>
      <c r="DK158" s="63"/>
      <c r="DL158" s="63"/>
      <c r="DM158" s="63"/>
      <c r="DN158" s="63"/>
      <c r="DO158" s="63"/>
      <c r="DP158" s="63"/>
      <c r="DQ158" s="63"/>
      <c r="DR158" s="63"/>
      <c r="DS158" s="63"/>
      <c r="DT158" s="63"/>
      <c r="DU158" s="63"/>
      <c r="DV158" s="63"/>
      <c r="DW158" s="63"/>
      <c r="DX158" s="63"/>
      <c r="DY158" s="63"/>
      <c r="DZ158" s="63"/>
      <c r="EA158" s="63"/>
      <c r="EB158" s="63"/>
      <c r="EC158" s="63"/>
      <c r="ED158" s="63"/>
      <c r="EE158" s="63"/>
      <c r="EF158" s="63"/>
      <c r="EG158" s="63"/>
      <c r="EH158" s="63"/>
      <c r="EI158" s="63"/>
      <c r="EJ158" s="63"/>
      <c r="EK158" s="63"/>
      <c r="EL158" s="63"/>
      <c r="EM158" s="63"/>
      <c r="EN158" s="63"/>
      <c r="EO158" s="63"/>
      <c r="EP158" s="63"/>
      <c r="EQ158" s="63"/>
      <c r="ER158" s="63"/>
      <c r="ES158" s="63"/>
      <c r="ET158" s="63"/>
      <c r="EU158" s="63"/>
      <c r="EV158" s="63"/>
      <c r="EW158" s="63"/>
      <c r="EX158" s="63"/>
      <c r="EY158" s="63"/>
      <c r="EZ158" s="33"/>
      <c r="FA158" s="33"/>
      <c r="FB158" s="33"/>
      <c r="FC158" s="33"/>
      <c r="FD158" s="33"/>
      <c r="FE158" s="33"/>
      <c r="FF158" s="33"/>
      <c r="FG158" s="33"/>
      <c r="FH158" s="33"/>
      <c r="FI158" s="33"/>
      <c r="FJ158" s="33"/>
      <c r="FK158" s="33"/>
      <c r="FL158" s="33"/>
      <c r="FM158" s="33"/>
      <c r="FN158" s="33"/>
      <c r="FO158" s="33"/>
      <c r="FP158" s="33"/>
      <c r="FQ158" s="33"/>
      <c r="FR158" s="33"/>
      <c r="FS158" s="33"/>
      <c r="FT158" s="33"/>
      <c r="FU158" s="33"/>
      <c r="FV158" s="33"/>
      <c r="FW158" s="33"/>
      <c r="FX158" s="33"/>
      <c r="FY158" s="33"/>
      <c r="FZ158" s="33"/>
      <c r="GA158" s="33"/>
    </row>
    <row r="159" ht="15.75" customHeight="1">
      <c r="A159" s="20" t="s">
        <v>397</v>
      </c>
      <c r="B159" s="20"/>
      <c r="C159" s="22"/>
      <c r="D159" s="22"/>
      <c r="E159" s="22"/>
      <c r="F159" s="22"/>
      <c r="G159" s="22"/>
      <c r="H159" s="22"/>
      <c r="I159" s="22"/>
      <c r="J159" s="22"/>
      <c r="K159" s="23"/>
      <c r="L159" s="23"/>
      <c r="M159" s="23"/>
      <c r="N159" s="23"/>
      <c r="O159" s="22"/>
      <c r="P159" s="24"/>
      <c r="Q159" s="24" t="str">
        <f t="shared" si="1"/>
        <v>very fine-grained, homogeneous, white marble</v>
      </c>
      <c r="R159" s="20" t="s">
        <v>188</v>
      </c>
      <c r="S159" s="20" t="s">
        <v>189</v>
      </c>
      <c r="T159" s="20" t="s">
        <v>194</v>
      </c>
      <c r="U159" s="20" t="s">
        <v>195</v>
      </c>
      <c r="V159" s="22"/>
      <c r="W159" s="20" t="s">
        <v>166</v>
      </c>
      <c r="X159" s="20">
        <v>0.2</v>
      </c>
      <c r="Y159" s="20" t="s">
        <v>196</v>
      </c>
      <c r="Z159" s="20" t="s">
        <v>219</v>
      </c>
      <c r="AA159" s="33"/>
      <c r="AB159" s="33"/>
      <c r="AC159" s="33"/>
      <c r="AD159" s="33"/>
      <c r="AE159" s="88"/>
      <c r="AF159" s="33"/>
      <c r="AG159" s="33"/>
      <c r="AH159" s="33"/>
      <c r="AI159" s="33"/>
      <c r="AJ159" s="33"/>
      <c r="AK159" s="33"/>
      <c r="AL159" s="33"/>
      <c r="AM159" s="22"/>
      <c r="AN159" s="22"/>
      <c r="AO159" s="43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141"/>
      <c r="CX159" s="54"/>
      <c r="CY159" s="54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134"/>
      <c r="DK159" s="63"/>
      <c r="DL159" s="63"/>
      <c r="DM159" s="63"/>
      <c r="DN159" s="63"/>
      <c r="DO159" s="63"/>
      <c r="DP159" s="63"/>
      <c r="DQ159" s="63"/>
      <c r="DR159" s="63"/>
      <c r="DS159" s="63"/>
      <c r="DT159" s="63"/>
      <c r="DU159" s="63"/>
      <c r="DV159" s="63"/>
      <c r="DW159" s="63"/>
      <c r="DX159" s="63"/>
      <c r="DY159" s="63"/>
      <c r="DZ159" s="63"/>
      <c r="EA159" s="63"/>
      <c r="EB159" s="63"/>
      <c r="EC159" s="63"/>
      <c r="ED159" s="63"/>
      <c r="EE159" s="63"/>
      <c r="EF159" s="63"/>
      <c r="EG159" s="63"/>
      <c r="EH159" s="63"/>
      <c r="EI159" s="63"/>
      <c r="EJ159" s="63"/>
      <c r="EK159" s="63"/>
      <c r="EL159" s="63"/>
      <c r="EM159" s="63"/>
      <c r="EN159" s="63"/>
      <c r="EO159" s="63"/>
      <c r="EP159" s="63"/>
      <c r="EQ159" s="63"/>
      <c r="ER159" s="63"/>
      <c r="ES159" s="63"/>
      <c r="ET159" s="63"/>
      <c r="EU159" s="63"/>
      <c r="EV159" s="63"/>
      <c r="EW159" s="63"/>
      <c r="EX159" s="63"/>
      <c r="EY159" s="63"/>
      <c r="EZ159" s="33"/>
      <c r="FA159" s="33"/>
      <c r="FB159" s="33"/>
      <c r="FC159" s="33"/>
      <c r="FD159" s="33"/>
      <c r="FE159" s="33"/>
      <c r="FF159" s="33"/>
      <c r="FG159" s="33"/>
      <c r="FH159" s="33"/>
      <c r="FI159" s="33"/>
      <c r="FJ159" s="33"/>
      <c r="FK159" s="33"/>
      <c r="FL159" s="33"/>
      <c r="FM159" s="33"/>
      <c r="FN159" s="33"/>
      <c r="FO159" s="33"/>
      <c r="FP159" s="33"/>
      <c r="FQ159" s="33"/>
      <c r="FR159" s="33"/>
      <c r="FS159" s="33"/>
      <c r="FT159" s="33"/>
      <c r="FU159" s="33"/>
      <c r="FV159" s="33"/>
      <c r="FW159" s="33"/>
      <c r="FX159" s="33"/>
      <c r="FY159" s="33"/>
      <c r="FZ159" s="33"/>
      <c r="GA159" s="33"/>
    </row>
    <row r="160" ht="15.75" customHeight="1">
      <c r="A160" s="20" t="s">
        <v>398</v>
      </c>
      <c r="B160" s="20"/>
      <c r="C160" s="22"/>
      <c r="D160" s="22"/>
      <c r="E160" s="22"/>
      <c r="F160" s="22"/>
      <c r="G160" s="22"/>
      <c r="H160" s="22"/>
      <c r="I160" s="22"/>
      <c r="J160" s="22"/>
      <c r="K160" s="23"/>
      <c r="L160" s="23"/>
      <c r="M160" s="23"/>
      <c r="N160" s="23"/>
      <c r="O160" s="22"/>
      <c r="P160" s="24"/>
      <c r="Q160" s="24" t="str">
        <f t="shared" si="1"/>
        <v>very fine-grained, homogeneous, white marble</v>
      </c>
      <c r="R160" s="20" t="s">
        <v>188</v>
      </c>
      <c r="S160" s="20" t="s">
        <v>189</v>
      </c>
      <c r="T160" s="20" t="s">
        <v>194</v>
      </c>
      <c r="U160" s="20" t="s">
        <v>195</v>
      </c>
      <c r="V160" s="22"/>
      <c r="W160" s="20" t="s">
        <v>166</v>
      </c>
      <c r="X160" s="20">
        <v>0.6</v>
      </c>
      <c r="Y160" s="20" t="s">
        <v>196</v>
      </c>
      <c r="Z160" s="20" t="s">
        <v>219</v>
      </c>
      <c r="AA160" s="33"/>
      <c r="AB160" s="33"/>
      <c r="AC160" s="33"/>
      <c r="AD160" s="33"/>
      <c r="AE160" s="88"/>
      <c r="AF160" s="33"/>
      <c r="AG160" s="33"/>
      <c r="AH160" s="33"/>
      <c r="AI160" s="33"/>
      <c r="AJ160" s="33"/>
      <c r="AK160" s="33"/>
      <c r="AL160" s="33"/>
      <c r="AM160" s="22"/>
      <c r="AN160" s="22"/>
      <c r="AO160" s="43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141"/>
      <c r="CX160" s="54"/>
      <c r="CY160" s="54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134"/>
      <c r="DK160" s="63"/>
      <c r="DL160" s="63"/>
      <c r="DM160" s="63"/>
      <c r="DN160" s="63"/>
      <c r="DO160" s="63"/>
      <c r="DP160" s="63"/>
      <c r="DQ160" s="63"/>
      <c r="DR160" s="63"/>
      <c r="DS160" s="63"/>
      <c r="DT160" s="63"/>
      <c r="DU160" s="63"/>
      <c r="DV160" s="63"/>
      <c r="DW160" s="63"/>
      <c r="DX160" s="63"/>
      <c r="DY160" s="63"/>
      <c r="DZ160" s="63"/>
      <c r="EA160" s="63"/>
      <c r="EB160" s="63"/>
      <c r="EC160" s="63"/>
      <c r="ED160" s="63"/>
      <c r="EE160" s="63"/>
      <c r="EF160" s="63"/>
      <c r="EG160" s="63"/>
      <c r="EH160" s="63"/>
      <c r="EI160" s="63"/>
      <c r="EJ160" s="63"/>
      <c r="EK160" s="63"/>
      <c r="EL160" s="63"/>
      <c r="EM160" s="63"/>
      <c r="EN160" s="63"/>
      <c r="EO160" s="63"/>
      <c r="EP160" s="63"/>
      <c r="EQ160" s="63"/>
      <c r="ER160" s="63"/>
      <c r="ES160" s="63"/>
      <c r="ET160" s="63"/>
      <c r="EU160" s="63"/>
      <c r="EV160" s="63"/>
      <c r="EW160" s="63"/>
      <c r="EX160" s="63"/>
      <c r="EY160" s="63"/>
      <c r="EZ160" s="33"/>
      <c r="FA160" s="33"/>
      <c r="FB160" s="33"/>
      <c r="FC160" s="33"/>
      <c r="FD160" s="33"/>
      <c r="FE160" s="33"/>
      <c r="FF160" s="33"/>
      <c r="FG160" s="33"/>
      <c r="FH160" s="33"/>
      <c r="FI160" s="33"/>
      <c r="FJ160" s="33"/>
      <c r="FK160" s="33"/>
      <c r="FL160" s="33"/>
      <c r="FM160" s="33"/>
      <c r="FN160" s="33"/>
      <c r="FO160" s="33"/>
      <c r="FP160" s="33"/>
      <c r="FQ160" s="33"/>
      <c r="FR160" s="33"/>
      <c r="FS160" s="33"/>
      <c r="FT160" s="33"/>
      <c r="FU160" s="33"/>
      <c r="FV160" s="33"/>
      <c r="FW160" s="33"/>
      <c r="FX160" s="33"/>
      <c r="FY160" s="33"/>
      <c r="FZ160" s="33"/>
      <c r="GA160" s="33"/>
    </row>
    <row r="161" ht="15.75" customHeight="1">
      <c r="A161" s="20" t="s">
        <v>399</v>
      </c>
      <c r="B161" s="20"/>
      <c r="C161" s="22"/>
      <c r="D161" s="22"/>
      <c r="E161" s="22"/>
      <c r="F161" s="22"/>
      <c r="G161" s="22"/>
      <c r="H161" s="22"/>
      <c r="I161" s="22"/>
      <c r="J161" s="22"/>
      <c r="K161" s="23"/>
      <c r="L161" s="23"/>
      <c r="M161" s="23"/>
      <c r="N161" s="23"/>
      <c r="O161" s="22"/>
      <c r="P161" s="24"/>
      <c r="Q161" s="24" t="str">
        <f t="shared" si="1"/>
        <v>fine-grained, banded, white marble</v>
      </c>
      <c r="R161" s="20" t="s">
        <v>180</v>
      </c>
      <c r="S161" s="20" t="s">
        <v>189</v>
      </c>
      <c r="T161" s="20" t="s">
        <v>182</v>
      </c>
      <c r="U161" s="20" t="s">
        <v>254</v>
      </c>
      <c r="V161" s="22"/>
      <c r="W161" s="20" t="s">
        <v>166</v>
      </c>
      <c r="X161" s="20">
        <v>1.6</v>
      </c>
      <c r="Y161" s="20" t="s">
        <v>191</v>
      </c>
      <c r="Z161" s="20" t="s">
        <v>198</v>
      </c>
      <c r="AA161" s="33"/>
      <c r="AB161" s="33"/>
      <c r="AC161" s="33"/>
      <c r="AD161" s="33"/>
      <c r="AE161" s="88"/>
      <c r="AF161" s="33"/>
      <c r="AG161" s="33"/>
      <c r="AH161" s="33"/>
      <c r="AI161" s="33"/>
      <c r="AJ161" s="33"/>
      <c r="AK161" s="33"/>
      <c r="AL161" s="33"/>
      <c r="AM161" s="22"/>
      <c r="AN161" s="22"/>
      <c r="AO161" s="43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141"/>
      <c r="CX161" s="54"/>
      <c r="CY161" s="54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134"/>
      <c r="DK161" s="63"/>
      <c r="DL161" s="63"/>
      <c r="DM161" s="63"/>
      <c r="DN161" s="63"/>
      <c r="DO161" s="63"/>
      <c r="DP161" s="63"/>
      <c r="DQ161" s="63"/>
      <c r="DR161" s="63"/>
      <c r="DS161" s="63"/>
      <c r="DT161" s="63"/>
      <c r="DU161" s="63"/>
      <c r="DV161" s="63"/>
      <c r="DW161" s="63"/>
      <c r="DX161" s="63"/>
      <c r="DY161" s="63"/>
      <c r="DZ161" s="63"/>
      <c r="EA161" s="63"/>
      <c r="EB161" s="63"/>
      <c r="EC161" s="63"/>
      <c r="ED161" s="63"/>
      <c r="EE161" s="63"/>
      <c r="EF161" s="63"/>
      <c r="EG161" s="63"/>
      <c r="EH161" s="63"/>
      <c r="EI161" s="63"/>
      <c r="EJ161" s="63"/>
      <c r="EK161" s="63"/>
      <c r="EL161" s="63"/>
      <c r="EM161" s="63"/>
      <c r="EN161" s="63"/>
      <c r="EO161" s="63"/>
      <c r="EP161" s="63"/>
      <c r="EQ161" s="63"/>
      <c r="ER161" s="63"/>
      <c r="ES161" s="63"/>
      <c r="ET161" s="63"/>
      <c r="EU161" s="63"/>
      <c r="EV161" s="63"/>
      <c r="EW161" s="63"/>
      <c r="EX161" s="63"/>
      <c r="EY161" s="6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</row>
    <row r="162" ht="15.75" customHeight="1">
      <c r="A162" s="20" t="s">
        <v>400</v>
      </c>
      <c r="B162" s="20"/>
      <c r="C162" s="22"/>
      <c r="D162" s="22"/>
      <c r="E162" s="22"/>
      <c r="F162" s="22"/>
      <c r="G162" s="22"/>
      <c r="H162" s="22"/>
      <c r="I162" s="22"/>
      <c r="J162" s="22"/>
      <c r="K162" s="23"/>
      <c r="L162" s="23"/>
      <c r="M162" s="23"/>
      <c r="N162" s="23"/>
      <c r="O162" s="22"/>
      <c r="P162" s="24"/>
      <c r="Q162" s="24" t="str">
        <f t="shared" si="1"/>
        <v>fine-grained, homogeneous, white marble</v>
      </c>
      <c r="R162" s="20" t="s">
        <v>180</v>
      </c>
      <c r="S162" s="20" t="s">
        <v>189</v>
      </c>
      <c r="T162" s="20" t="s">
        <v>194</v>
      </c>
      <c r="U162" s="20" t="s">
        <v>195</v>
      </c>
      <c r="V162" s="22"/>
      <c r="W162" s="20" t="s">
        <v>166</v>
      </c>
      <c r="X162" s="20">
        <v>0.6</v>
      </c>
      <c r="Y162" s="20" t="s">
        <v>183</v>
      </c>
      <c r="Z162" s="20" t="s">
        <v>207</v>
      </c>
      <c r="AA162" s="33"/>
      <c r="AB162" s="33"/>
      <c r="AC162" s="33"/>
      <c r="AD162" s="33"/>
      <c r="AE162" s="88"/>
      <c r="AF162" s="33"/>
      <c r="AG162" s="33"/>
      <c r="AH162" s="33"/>
      <c r="AI162" s="33"/>
      <c r="AJ162" s="33"/>
      <c r="AK162" s="33"/>
      <c r="AL162" s="33"/>
      <c r="AM162" s="22"/>
      <c r="AN162" s="22"/>
      <c r="AO162" s="43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141"/>
      <c r="CX162" s="54"/>
      <c r="CY162" s="54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134"/>
      <c r="DK162" s="63"/>
      <c r="DL162" s="63"/>
      <c r="DM162" s="63"/>
      <c r="DN162" s="63"/>
      <c r="DO162" s="63"/>
      <c r="DP162" s="63"/>
      <c r="DQ162" s="63"/>
      <c r="DR162" s="63"/>
      <c r="DS162" s="63"/>
      <c r="DT162" s="63"/>
      <c r="DU162" s="63"/>
      <c r="DV162" s="63"/>
      <c r="DW162" s="63"/>
      <c r="DX162" s="63"/>
      <c r="DY162" s="63"/>
      <c r="DZ162" s="63"/>
      <c r="EA162" s="63"/>
      <c r="EB162" s="63"/>
      <c r="EC162" s="63"/>
      <c r="ED162" s="63"/>
      <c r="EE162" s="63"/>
      <c r="EF162" s="63"/>
      <c r="EG162" s="63"/>
      <c r="EH162" s="63"/>
      <c r="EI162" s="63"/>
      <c r="EJ162" s="63"/>
      <c r="EK162" s="63"/>
      <c r="EL162" s="63"/>
      <c r="EM162" s="63"/>
      <c r="EN162" s="63"/>
      <c r="EO162" s="63"/>
      <c r="EP162" s="63"/>
      <c r="EQ162" s="63"/>
      <c r="ER162" s="63"/>
      <c r="ES162" s="63"/>
      <c r="ET162" s="63"/>
      <c r="EU162" s="63"/>
      <c r="EV162" s="63"/>
      <c r="EW162" s="63"/>
      <c r="EX162" s="63"/>
      <c r="EY162" s="6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</row>
    <row r="163" ht="15.75" customHeight="1">
      <c r="A163" s="20" t="s">
        <v>401</v>
      </c>
      <c r="B163" s="20"/>
      <c r="C163" s="22"/>
      <c r="D163" s="22"/>
      <c r="E163" s="22"/>
      <c r="F163" s="22"/>
      <c r="G163" s="22"/>
      <c r="H163" s="22"/>
      <c r="I163" s="22"/>
      <c r="J163" s="22"/>
      <c r="K163" s="23"/>
      <c r="L163" s="23"/>
      <c r="M163" s="23"/>
      <c r="N163" s="23"/>
      <c r="O163" s="22"/>
      <c r="P163" s="24"/>
      <c r="Q163" s="24" t="str">
        <f t="shared" si="1"/>
        <v>medium-grained, homogeneous, white marble</v>
      </c>
      <c r="R163" s="20" t="s">
        <v>205</v>
      </c>
      <c r="S163" s="20" t="s">
        <v>189</v>
      </c>
      <c r="T163" s="20" t="s">
        <v>194</v>
      </c>
      <c r="U163" s="20" t="s">
        <v>195</v>
      </c>
      <c r="V163" s="22"/>
      <c r="W163" s="20" t="s">
        <v>166</v>
      </c>
      <c r="X163" s="20">
        <v>2.0</v>
      </c>
      <c r="Y163" s="20" t="s">
        <v>219</v>
      </c>
      <c r="Z163" s="20" t="s">
        <v>219</v>
      </c>
      <c r="AA163" s="33"/>
      <c r="AB163" s="33"/>
      <c r="AC163" s="33"/>
      <c r="AD163" s="33"/>
      <c r="AE163" s="88"/>
      <c r="AF163" s="33"/>
      <c r="AG163" s="33"/>
      <c r="AH163" s="33"/>
      <c r="AI163" s="33"/>
      <c r="AJ163" s="33"/>
      <c r="AK163" s="33"/>
      <c r="AL163" s="33"/>
      <c r="AM163" s="22"/>
      <c r="AN163" s="22"/>
      <c r="AO163" s="43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141"/>
      <c r="CX163" s="142"/>
      <c r="CY163" s="142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134"/>
      <c r="DK163" s="63"/>
      <c r="DL163" s="63"/>
      <c r="DM163" s="63"/>
      <c r="DN163" s="63"/>
      <c r="DO163" s="63"/>
      <c r="DP163" s="63"/>
      <c r="DQ163" s="63"/>
      <c r="DR163" s="63"/>
      <c r="DS163" s="63"/>
      <c r="DT163" s="63"/>
      <c r="DU163" s="63"/>
      <c r="DV163" s="63"/>
      <c r="DW163" s="63"/>
      <c r="DX163" s="63"/>
      <c r="DY163" s="63"/>
      <c r="DZ163" s="63"/>
      <c r="EA163" s="63"/>
      <c r="EB163" s="63"/>
      <c r="EC163" s="63"/>
      <c r="ED163" s="63"/>
      <c r="EE163" s="63"/>
      <c r="EF163" s="63"/>
      <c r="EG163" s="63"/>
      <c r="EH163" s="63"/>
      <c r="EI163" s="63"/>
      <c r="EJ163" s="63"/>
      <c r="EK163" s="63"/>
      <c r="EL163" s="63"/>
      <c r="EM163" s="63"/>
      <c r="EN163" s="63"/>
      <c r="EO163" s="63"/>
      <c r="EP163" s="63"/>
      <c r="EQ163" s="63"/>
      <c r="ER163" s="63"/>
      <c r="ES163" s="63"/>
      <c r="ET163" s="63"/>
      <c r="EU163" s="63"/>
      <c r="EV163" s="63"/>
      <c r="EW163" s="63"/>
      <c r="EX163" s="63"/>
      <c r="EY163" s="6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</row>
    <row r="164" ht="15.75" customHeight="1">
      <c r="A164" s="20" t="s">
        <v>402</v>
      </c>
      <c r="B164" s="20"/>
      <c r="C164" s="22"/>
      <c r="D164" s="22"/>
      <c r="E164" s="22"/>
      <c r="F164" s="22"/>
      <c r="G164" s="22"/>
      <c r="H164" s="22"/>
      <c r="I164" s="22"/>
      <c r="J164" s="22"/>
      <c r="K164" s="48" t="s">
        <v>187</v>
      </c>
      <c r="L164" s="23"/>
      <c r="M164" s="23"/>
      <c r="N164" s="23"/>
      <c r="O164" s="22" t="s">
        <v>164</v>
      </c>
      <c r="P164" s="76" t="s">
        <v>403</v>
      </c>
      <c r="Q164" s="24" t="str">
        <f t="shared" si="1"/>
        <v>very fine-grained, banded, white marble</v>
      </c>
      <c r="R164" s="20" t="s">
        <v>188</v>
      </c>
      <c r="S164" s="20" t="s">
        <v>189</v>
      </c>
      <c r="T164" s="20" t="s">
        <v>182</v>
      </c>
      <c r="U164" s="20" t="s">
        <v>404</v>
      </c>
      <c r="V164" s="20" t="s">
        <v>190</v>
      </c>
      <c r="W164" s="20" t="s">
        <v>166</v>
      </c>
      <c r="X164" s="20">
        <v>0.8</v>
      </c>
      <c r="Y164" s="20" t="s">
        <v>219</v>
      </c>
      <c r="Z164" s="20" t="s">
        <v>219</v>
      </c>
      <c r="AA164" s="33"/>
      <c r="AB164" s="50" t="s">
        <v>166</v>
      </c>
      <c r="AC164" s="50">
        <v>0.4</v>
      </c>
      <c r="AD164" s="50" t="s">
        <v>191</v>
      </c>
      <c r="AE164" s="36" t="s">
        <v>270</v>
      </c>
      <c r="AF164" s="50" t="s">
        <v>166</v>
      </c>
      <c r="AG164" s="50" t="s">
        <v>166</v>
      </c>
      <c r="AH164" s="33" t="s">
        <v>164</v>
      </c>
      <c r="AI164" s="50" t="s">
        <v>166</v>
      </c>
      <c r="AJ164" s="33" t="s">
        <v>164</v>
      </c>
      <c r="AK164" s="33" t="s">
        <v>164</v>
      </c>
      <c r="AL164" s="33" t="s">
        <v>164</v>
      </c>
      <c r="AM164" s="22"/>
      <c r="AN164" s="20" t="s">
        <v>403</v>
      </c>
      <c r="AO164" s="43">
        <f>SUM(AP164,AQ164,AR164)</f>
        <v>0</v>
      </c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 t="s">
        <v>164</v>
      </c>
      <c r="BF164" s="22" t="s">
        <v>164</v>
      </c>
      <c r="BG164" s="22" t="s">
        <v>164</v>
      </c>
      <c r="BH164" s="22" t="s">
        <v>164</v>
      </c>
      <c r="BI164" s="22"/>
      <c r="BJ164" s="22" t="s">
        <v>164</v>
      </c>
      <c r="BK164" s="22"/>
      <c r="BL164" s="22" t="s">
        <v>164</v>
      </c>
      <c r="BM164" s="22"/>
      <c r="BN164" s="22" t="s">
        <v>164</v>
      </c>
      <c r="BO164" s="22"/>
      <c r="BP164" s="22"/>
      <c r="BQ164" s="22"/>
      <c r="BR164" s="22" t="s">
        <v>164</v>
      </c>
      <c r="BS164" s="22"/>
      <c r="BT164" s="22" t="s">
        <v>164</v>
      </c>
      <c r="BU164" s="22"/>
      <c r="BV164" s="22"/>
      <c r="BW164" s="22"/>
      <c r="BX164" s="22" t="s">
        <v>164</v>
      </c>
      <c r="BY164" s="22"/>
      <c r="BZ164" s="22" t="s">
        <v>164</v>
      </c>
      <c r="CA164" s="22"/>
      <c r="CB164" s="22" t="s">
        <v>164</v>
      </c>
      <c r="CC164" s="22"/>
      <c r="CD164" s="22" t="s">
        <v>164</v>
      </c>
      <c r="CE164" s="33" t="s">
        <v>164</v>
      </c>
      <c r="CF164" s="33" t="s">
        <v>164</v>
      </c>
      <c r="CG164" s="33" t="s">
        <v>164</v>
      </c>
      <c r="CH164" s="33" t="s">
        <v>164</v>
      </c>
      <c r="CI164" s="33" t="s">
        <v>164</v>
      </c>
      <c r="CJ164" s="33" t="s">
        <v>164</v>
      </c>
      <c r="CK164" s="33" t="s">
        <v>164</v>
      </c>
      <c r="CL164" s="33" t="s">
        <v>164</v>
      </c>
      <c r="CM164" s="33" t="s">
        <v>164</v>
      </c>
      <c r="CN164" s="33" t="s">
        <v>164</v>
      </c>
      <c r="CO164" s="33" t="s">
        <v>164</v>
      </c>
      <c r="CP164" s="33" t="s">
        <v>164</v>
      </c>
      <c r="CQ164" s="33" t="s">
        <v>164</v>
      </c>
      <c r="CR164" s="33" t="s">
        <v>164</v>
      </c>
      <c r="CS164" s="33" t="s">
        <v>164</v>
      </c>
      <c r="CT164" s="33" t="s">
        <v>164</v>
      </c>
      <c r="CU164" s="33" t="s">
        <v>164</v>
      </c>
      <c r="CV164" s="33" t="s">
        <v>164</v>
      </c>
      <c r="CW164" s="140" t="s">
        <v>166</v>
      </c>
      <c r="CX164" s="38">
        <v>2.93</v>
      </c>
      <c r="CY164" s="38">
        <v>-2.53</v>
      </c>
      <c r="CZ164" s="50" t="s">
        <v>166</v>
      </c>
      <c r="DA164" s="33" t="s">
        <v>164</v>
      </c>
      <c r="DB164" s="33" t="s">
        <v>164</v>
      </c>
      <c r="DC164" s="33" t="s">
        <v>164</v>
      </c>
      <c r="DD164" s="33" t="s">
        <v>164</v>
      </c>
      <c r="DE164" s="33" t="s">
        <v>164</v>
      </c>
      <c r="DF164" s="33" t="s">
        <v>164</v>
      </c>
      <c r="DG164" s="33" t="s">
        <v>164</v>
      </c>
      <c r="DH164" s="33" t="s">
        <v>164</v>
      </c>
      <c r="DI164" s="33" t="s">
        <v>164</v>
      </c>
      <c r="DJ164" s="50" t="s">
        <v>166</v>
      </c>
      <c r="DK164" s="52">
        <v>56.02</v>
      </c>
      <c r="DL164" s="52">
        <v>14.66</v>
      </c>
      <c r="DM164" s="52">
        <v>367.01</v>
      </c>
      <c r="DN164" s="52">
        <v>12393.81</v>
      </c>
      <c r="DO164" s="52">
        <v>0.289548331</v>
      </c>
      <c r="DP164" s="52">
        <v>65.53</v>
      </c>
      <c r="DQ164" s="52">
        <v>13.56</v>
      </c>
      <c r="DR164" s="52">
        <v>57.3</v>
      </c>
      <c r="DS164" s="52">
        <v>90.48</v>
      </c>
      <c r="DT164" s="52">
        <v>7.2</v>
      </c>
      <c r="DU164" s="52">
        <v>13208.2</v>
      </c>
      <c r="DV164" s="52">
        <v>2.13</v>
      </c>
      <c r="DW164" s="52">
        <v>37.16</v>
      </c>
      <c r="DX164" s="52">
        <v>1.99</v>
      </c>
      <c r="DY164" s="52">
        <v>30.46</v>
      </c>
      <c r="DZ164" s="52">
        <v>1.68</v>
      </c>
      <c r="EA164" s="52">
        <v>3.08</v>
      </c>
      <c r="EB164" s="52">
        <v>40.73</v>
      </c>
      <c r="EC164" s="52">
        <v>508.83</v>
      </c>
      <c r="ED164" s="52">
        <v>0.32</v>
      </c>
      <c r="EE164" s="52">
        <v>0.33</v>
      </c>
      <c r="EF164" s="52">
        <v>0.11</v>
      </c>
      <c r="EG164" s="52">
        <v>0.4</v>
      </c>
      <c r="EH164" s="52">
        <v>0.47</v>
      </c>
      <c r="EI164" s="52">
        <v>2.66</v>
      </c>
      <c r="EJ164" s="52">
        <v>4.26</v>
      </c>
      <c r="EK164" s="52">
        <v>26.24</v>
      </c>
      <c r="EL164" s="52">
        <v>0.21</v>
      </c>
      <c r="EM164" s="52">
        <v>0.36</v>
      </c>
      <c r="EN164" s="52">
        <v>0.15</v>
      </c>
      <c r="EO164" s="52">
        <v>0.04</v>
      </c>
      <c r="EP164" s="52">
        <v>0.01</v>
      </c>
      <c r="EQ164" s="52">
        <v>0.04</v>
      </c>
      <c r="ER164" s="52">
        <v>0.04</v>
      </c>
      <c r="ES164" s="52">
        <v>0.04</v>
      </c>
      <c r="ET164" s="52">
        <v>0.020196893</v>
      </c>
      <c r="EU164" s="52">
        <v>0.01</v>
      </c>
      <c r="EV164" s="52">
        <v>124.58</v>
      </c>
      <c r="EW164" s="52">
        <v>9.19</v>
      </c>
      <c r="EX164" s="52">
        <v>0.99</v>
      </c>
      <c r="EY164" s="52">
        <v>0.03</v>
      </c>
      <c r="EZ164" s="40"/>
      <c r="FA164" s="33"/>
      <c r="FB164" s="33"/>
      <c r="FC164" s="33"/>
      <c r="FD164" s="33"/>
      <c r="FE164" s="33"/>
      <c r="FF164" s="33"/>
      <c r="FG164" s="33"/>
      <c r="FH164" s="33"/>
      <c r="FI164" s="33"/>
      <c r="FJ164" s="33"/>
      <c r="FK164" s="33"/>
      <c r="FL164" s="33"/>
      <c r="FM164" s="33"/>
      <c r="FN164" s="33"/>
      <c r="FO164" s="33"/>
      <c r="FP164" s="33"/>
      <c r="FQ164" s="33"/>
      <c r="FR164" s="33"/>
      <c r="FS164" s="33"/>
      <c r="FT164" s="33"/>
      <c r="FU164" s="33"/>
      <c r="FV164" s="33"/>
      <c r="FW164" s="33"/>
      <c r="FX164" s="33"/>
      <c r="FY164" s="33"/>
      <c r="FZ164" s="33"/>
      <c r="GA164" s="33"/>
    </row>
    <row r="165" ht="15.75" customHeight="1">
      <c r="A165" s="20" t="s">
        <v>405</v>
      </c>
      <c r="B165" s="20"/>
      <c r="C165" s="22"/>
      <c r="D165" s="22"/>
      <c r="E165" s="22"/>
      <c r="F165" s="22"/>
      <c r="G165" s="22"/>
      <c r="H165" s="22"/>
      <c r="I165" s="22"/>
      <c r="J165" s="22"/>
      <c r="K165" s="62"/>
      <c r="L165" s="23"/>
      <c r="M165" s="23"/>
      <c r="N165" s="23"/>
      <c r="O165" s="22"/>
      <c r="P165" s="24"/>
      <c r="Q165" s="24" t="str">
        <f t="shared" si="1"/>
        <v>medium-grained, homogeneous, white marble</v>
      </c>
      <c r="R165" s="20" t="s">
        <v>205</v>
      </c>
      <c r="S165" s="20" t="s">
        <v>189</v>
      </c>
      <c r="T165" s="20" t="s">
        <v>194</v>
      </c>
      <c r="U165" s="20" t="s">
        <v>195</v>
      </c>
      <c r="V165" s="22"/>
      <c r="W165" s="20" t="s">
        <v>166</v>
      </c>
      <c r="X165" s="20">
        <v>1.1</v>
      </c>
      <c r="Y165" s="20" t="s">
        <v>183</v>
      </c>
      <c r="Z165" s="20" t="s">
        <v>213</v>
      </c>
      <c r="AA165" s="33"/>
      <c r="AB165" s="86"/>
      <c r="AC165" s="33"/>
      <c r="AD165" s="33"/>
      <c r="AE165" s="107"/>
      <c r="AG165" s="33"/>
      <c r="AL165" s="33"/>
      <c r="AM165" s="22"/>
      <c r="AN165" s="22"/>
      <c r="AO165" s="43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V165" s="33"/>
      <c r="CW165" s="141"/>
      <c r="CX165" s="47"/>
      <c r="CY165" s="47"/>
      <c r="DJ165" s="33"/>
      <c r="DK165" s="33"/>
      <c r="DL165" s="33"/>
      <c r="DM165" s="33"/>
      <c r="DN165" s="33"/>
      <c r="DO165" s="33"/>
      <c r="DP165" s="33"/>
      <c r="DQ165" s="33"/>
      <c r="DR165" s="33"/>
      <c r="DS165" s="33"/>
      <c r="DT165" s="33"/>
      <c r="DU165" s="33"/>
      <c r="DV165" s="33"/>
      <c r="DW165" s="33"/>
      <c r="DX165" s="33"/>
      <c r="DY165" s="33"/>
      <c r="DZ165" s="33"/>
      <c r="EA165" s="33"/>
      <c r="EB165" s="33"/>
      <c r="EC165" s="33"/>
      <c r="ED165" s="33"/>
      <c r="EE165" s="33"/>
      <c r="EF165" s="33"/>
      <c r="EG165" s="33"/>
      <c r="EH165" s="33"/>
      <c r="EI165" s="33"/>
      <c r="EJ165" s="33"/>
      <c r="EK165" s="33"/>
      <c r="EL165" s="33"/>
      <c r="EM165" s="33"/>
      <c r="EN165" s="33"/>
      <c r="EO165" s="33"/>
      <c r="EP165" s="33"/>
      <c r="EQ165" s="33"/>
      <c r="ER165" s="33"/>
      <c r="ES165" s="33"/>
      <c r="ET165" s="33"/>
      <c r="EU165" s="33"/>
      <c r="EV165" s="33"/>
      <c r="EW165" s="33"/>
      <c r="EX165" s="33"/>
      <c r="EY165" s="33"/>
      <c r="EZ165" s="33"/>
      <c r="FA165" s="33"/>
      <c r="FB165" s="33"/>
      <c r="FC165" s="33"/>
      <c r="FD165" s="33"/>
      <c r="FE165" s="33"/>
      <c r="FF165" s="33"/>
      <c r="FG165" s="33"/>
      <c r="FH165" s="33"/>
      <c r="FI165" s="33"/>
      <c r="FJ165" s="33"/>
      <c r="FK165" s="33"/>
      <c r="FL165" s="33"/>
      <c r="FM165" s="33"/>
      <c r="FN165" s="33"/>
      <c r="FO165" s="33"/>
      <c r="FP165" s="33"/>
      <c r="FQ165" s="33"/>
      <c r="FR165" s="33"/>
      <c r="FS165" s="33"/>
      <c r="FT165" s="33"/>
      <c r="FU165" s="33"/>
      <c r="FV165" s="33"/>
      <c r="FW165" s="33"/>
      <c r="FX165" s="33"/>
      <c r="FY165" s="33"/>
      <c r="FZ165" s="33"/>
      <c r="GA165" s="33"/>
    </row>
    <row r="166" ht="15.75" customHeight="1">
      <c r="A166" s="20" t="s">
        <v>406</v>
      </c>
      <c r="B166" s="20"/>
      <c r="C166" s="22"/>
      <c r="D166" s="22"/>
      <c r="E166" s="22"/>
      <c r="F166" s="22"/>
      <c r="G166" s="22"/>
      <c r="H166" s="22"/>
      <c r="I166" s="22"/>
      <c r="J166" s="22" t="s">
        <v>407</v>
      </c>
      <c r="K166" s="62" t="s">
        <v>408</v>
      </c>
      <c r="L166" s="23"/>
      <c r="M166" s="23"/>
      <c r="N166" s="23"/>
      <c r="O166" s="22" t="s">
        <v>409</v>
      </c>
      <c r="P166" s="24"/>
      <c r="Q166" s="24" t="str">
        <f t="shared" si="1"/>
        <v>coarse-grained, homogeneous, white marble</v>
      </c>
      <c r="R166" s="20" t="s">
        <v>222</v>
      </c>
      <c r="S166" s="22" t="s">
        <v>189</v>
      </c>
      <c r="T166" s="20" t="s">
        <v>194</v>
      </c>
      <c r="U166" s="20" t="s">
        <v>195</v>
      </c>
      <c r="V166" s="22"/>
      <c r="W166" s="20" t="s">
        <v>166</v>
      </c>
      <c r="X166" s="20">
        <v>6.3</v>
      </c>
      <c r="Y166" s="20" t="s">
        <v>183</v>
      </c>
      <c r="Z166" s="20" t="s">
        <v>184</v>
      </c>
      <c r="AA166" s="33"/>
      <c r="AB166" s="86" t="s">
        <v>166</v>
      </c>
      <c r="AC166" s="33">
        <v>2.96</v>
      </c>
      <c r="AD166" s="33" t="s">
        <v>183</v>
      </c>
      <c r="AE166" s="107" t="s">
        <v>184</v>
      </c>
      <c r="AG166" s="33" t="s">
        <v>166</v>
      </c>
      <c r="AL166" s="33" t="s">
        <v>166</v>
      </c>
      <c r="AM166" s="22"/>
      <c r="AN166" s="22"/>
      <c r="AO166" s="43">
        <f>SUM(AP166,AQ166,AR166)</f>
        <v>0</v>
      </c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V166" s="33" t="s">
        <v>164</v>
      </c>
      <c r="CW166" s="140" t="s">
        <v>166</v>
      </c>
      <c r="CX166" s="148">
        <v>2.1</v>
      </c>
      <c r="CY166" s="148">
        <v>2.58</v>
      </c>
      <c r="DJ166" s="33"/>
      <c r="DK166" s="33"/>
      <c r="DL166" s="33"/>
      <c r="DM166" s="33"/>
      <c r="DN166" s="33"/>
      <c r="DO166" s="33"/>
      <c r="DP166" s="33"/>
      <c r="DQ166" s="33"/>
      <c r="DR166" s="33"/>
      <c r="DS166" s="33"/>
      <c r="DT166" s="33"/>
      <c r="DU166" s="33"/>
      <c r="DV166" s="33"/>
      <c r="DW166" s="33"/>
      <c r="DX166" s="33"/>
      <c r="DY166" s="33"/>
      <c r="DZ166" s="33"/>
      <c r="EA166" s="33"/>
      <c r="EB166" s="33"/>
      <c r="EC166" s="33"/>
      <c r="ED166" s="33"/>
      <c r="EE166" s="33"/>
      <c r="EF166" s="33"/>
      <c r="EG166" s="33"/>
      <c r="EH166" s="33"/>
      <c r="EI166" s="33"/>
      <c r="EJ166" s="33"/>
      <c r="EK166" s="33"/>
      <c r="EL166" s="33"/>
      <c r="EM166" s="33"/>
      <c r="EN166" s="33"/>
      <c r="EO166" s="33"/>
      <c r="EP166" s="33"/>
      <c r="EQ166" s="33"/>
      <c r="ER166" s="33"/>
      <c r="ES166" s="33"/>
      <c r="ET166" s="33"/>
      <c r="EU166" s="33"/>
      <c r="EV166" s="33"/>
      <c r="EW166" s="33"/>
      <c r="EX166" s="33"/>
      <c r="EY166" s="33"/>
      <c r="EZ166" s="33"/>
      <c r="FA166" s="33"/>
      <c r="FB166" s="33"/>
      <c r="FC166" s="33"/>
      <c r="FD166" s="33"/>
      <c r="FE166" s="33"/>
      <c r="FF166" s="33"/>
      <c r="FG166" s="33"/>
      <c r="FH166" s="33"/>
      <c r="FI166" s="33"/>
      <c r="FJ166" s="33"/>
      <c r="FK166" s="33"/>
      <c r="FL166" s="33"/>
      <c r="FM166" s="33"/>
      <c r="FN166" s="33"/>
      <c r="FO166" s="33"/>
      <c r="FP166" s="33"/>
      <c r="FQ166" s="33"/>
      <c r="FR166" s="33"/>
      <c r="FS166" s="33"/>
      <c r="FT166" s="33"/>
      <c r="FU166" s="33"/>
      <c r="FV166" s="33"/>
      <c r="FW166" s="33"/>
      <c r="FX166" s="33"/>
      <c r="FY166" s="33"/>
      <c r="FZ166" s="33"/>
      <c r="GA166" s="33"/>
    </row>
    <row r="167" ht="15.75" customHeight="1">
      <c r="A167" s="20" t="s">
        <v>410</v>
      </c>
      <c r="B167" s="20"/>
      <c r="C167" s="22"/>
      <c r="D167" s="22"/>
      <c r="E167" s="22"/>
      <c r="F167" s="22"/>
      <c r="G167" s="22"/>
      <c r="H167" s="22"/>
      <c r="I167" s="22"/>
      <c r="J167" s="22"/>
      <c r="K167" s="23"/>
      <c r="L167" s="23"/>
      <c r="M167" s="23"/>
      <c r="N167" s="23"/>
      <c r="O167" s="22"/>
      <c r="P167" s="24"/>
      <c r="Q167" s="24" t="str">
        <f t="shared" si="1"/>
        <v>fine-grained, banded, white marble</v>
      </c>
      <c r="R167" s="20" t="s">
        <v>180</v>
      </c>
      <c r="S167" s="20" t="s">
        <v>189</v>
      </c>
      <c r="T167" s="20" t="s">
        <v>182</v>
      </c>
      <c r="U167" s="20" t="s">
        <v>181</v>
      </c>
      <c r="V167" s="22"/>
      <c r="W167" s="20" t="s">
        <v>166</v>
      </c>
      <c r="X167" s="20">
        <v>1.6</v>
      </c>
      <c r="Y167" s="20" t="s">
        <v>219</v>
      </c>
      <c r="Z167" s="20" t="s">
        <v>219</v>
      </c>
      <c r="AA167" s="33"/>
      <c r="AB167" s="33"/>
      <c r="AC167" s="33"/>
      <c r="AD167" s="33"/>
      <c r="AE167" s="88"/>
      <c r="AF167" s="33"/>
      <c r="AG167" s="33"/>
      <c r="AH167" s="33"/>
      <c r="AI167" s="33"/>
      <c r="AJ167" s="33"/>
      <c r="AK167" s="33"/>
      <c r="AL167" s="33"/>
      <c r="AM167" s="22"/>
      <c r="AN167" s="22"/>
      <c r="AO167" s="43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141"/>
      <c r="CX167" s="54"/>
      <c r="CY167" s="54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49"/>
      <c r="DK167" s="63"/>
      <c r="DL167" s="63"/>
      <c r="DM167" s="63"/>
      <c r="DN167" s="63"/>
      <c r="DO167" s="63"/>
      <c r="DP167" s="63"/>
      <c r="DQ167" s="63"/>
      <c r="DR167" s="63"/>
      <c r="DS167" s="63"/>
      <c r="DT167" s="63"/>
      <c r="DU167" s="63"/>
      <c r="DV167" s="63"/>
      <c r="DW167" s="63"/>
      <c r="DX167" s="63"/>
      <c r="DY167" s="63"/>
      <c r="DZ167" s="63"/>
      <c r="EA167" s="63"/>
      <c r="EB167" s="63"/>
      <c r="EC167" s="63"/>
      <c r="ED167" s="63"/>
      <c r="EE167" s="63"/>
      <c r="EF167" s="63"/>
      <c r="EG167" s="63"/>
      <c r="EH167" s="63"/>
      <c r="EI167" s="63"/>
      <c r="EJ167" s="63"/>
      <c r="EK167" s="63"/>
      <c r="EL167" s="63"/>
      <c r="EM167" s="63"/>
      <c r="EN167" s="63"/>
      <c r="EO167" s="63"/>
      <c r="EP167" s="63"/>
      <c r="EQ167" s="63"/>
      <c r="ER167" s="63"/>
      <c r="ES167" s="63"/>
      <c r="ET167" s="63"/>
      <c r="EU167" s="63"/>
      <c r="EV167" s="63"/>
      <c r="EW167" s="63"/>
      <c r="EX167" s="63"/>
      <c r="EY167" s="63"/>
      <c r="EZ167" s="40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</row>
    <row r="168" ht="15.75" customHeight="1">
      <c r="A168" s="20" t="s">
        <v>411</v>
      </c>
      <c r="B168" s="20"/>
      <c r="C168" s="22"/>
      <c r="D168" s="22"/>
      <c r="E168" s="22"/>
      <c r="F168" s="22"/>
      <c r="G168" s="22"/>
      <c r="H168" s="22"/>
      <c r="I168" s="22"/>
      <c r="J168" s="22"/>
      <c r="K168" s="23"/>
      <c r="L168" s="23"/>
      <c r="M168" s="23"/>
      <c r="N168" s="23"/>
      <c r="O168" s="22"/>
      <c r="P168" s="24"/>
      <c r="Q168" s="24" t="str">
        <f t="shared" si="1"/>
        <v>fine-grained, ,  marble</v>
      </c>
      <c r="R168" s="20" t="s">
        <v>180</v>
      </c>
      <c r="S168" s="22"/>
      <c r="T168" s="22"/>
      <c r="U168" s="22"/>
      <c r="V168" s="22"/>
      <c r="W168" s="20" t="s">
        <v>166</v>
      </c>
      <c r="X168" s="20">
        <v>1.0</v>
      </c>
      <c r="Y168" s="20" t="s">
        <v>191</v>
      </c>
      <c r="Z168" s="20" t="s">
        <v>219</v>
      </c>
      <c r="AA168" s="33"/>
      <c r="AB168" s="33"/>
      <c r="AC168" s="33"/>
      <c r="AD168" s="33"/>
      <c r="AE168" s="88"/>
      <c r="AF168" s="33"/>
      <c r="AG168" s="33"/>
      <c r="AH168" s="33"/>
      <c r="AI168" s="33"/>
      <c r="AJ168" s="33"/>
      <c r="AK168" s="33"/>
      <c r="AL168" s="33"/>
      <c r="AM168" s="22"/>
      <c r="AN168" s="22"/>
      <c r="AO168" s="43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141"/>
      <c r="CX168" s="54"/>
      <c r="CY168" s="54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50"/>
      <c r="DK168" s="63"/>
      <c r="DL168" s="63"/>
      <c r="DM168" s="63"/>
      <c r="DN168" s="63"/>
      <c r="DO168" s="63"/>
      <c r="DP168" s="63"/>
      <c r="DQ168" s="63"/>
      <c r="DR168" s="63"/>
      <c r="DS168" s="63"/>
      <c r="DT168" s="63"/>
      <c r="DU168" s="63"/>
      <c r="DV168" s="63"/>
      <c r="DW168" s="63"/>
      <c r="DX168" s="63"/>
      <c r="DY168" s="63"/>
      <c r="DZ168" s="63"/>
      <c r="EA168" s="63"/>
      <c r="EB168" s="63"/>
      <c r="EC168" s="63"/>
      <c r="ED168" s="63"/>
      <c r="EE168" s="63"/>
      <c r="EF168" s="63"/>
      <c r="EG168" s="63"/>
      <c r="EH168" s="63"/>
      <c r="EI168" s="63"/>
      <c r="EJ168" s="63"/>
      <c r="EK168" s="63"/>
      <c r="EL168" s="63"/>
      <c r="EM168" s="63"/>
      <c r="EN168" s="63"/>
      <c r="EO168" s="63"/>
      <c r="EP168" s="63"/>
      <c r="EQ168" s="63"/>
      <c r="ER168" s="63"/>
      <c r="ES168" s="63"/>
      <c r="ET168" s="63"/>
      <c r="EU168" s="63"/>
      <c r="EV168" s="63"/>
      <c r="EW168" s="63"/>
      <c r="EX168" s="63"/>
      <c r="EY168" s="63"/>
      <c r="EZ168" s="40"/>
      <c r="FA168" s="33"/>
      <c r="FB168" s="33"/>
      <c r="FC168" s="33"/>
      <c r="FD168" s="33"/>
      <c r="FE168" s="33"/>
      <c r="FF168" s="33"/>
      <c r="FG168" s="33"/>
      <c r="FH168" s="33"/>
      <c r="FI168" s="33"/>
      <c r="FJ168" s="33"/>
      <c r="FK168" s="33"/>
      <c r="FL168" s="33"/>
      <c r="FM168" s="33"/>
      <c r="FN168" s="33"/>
      <c r="FO168" s="33"/>
      <c r="FP168" s="33"/>
      <c r="FQ168" s="33"/>
      <c r="FR168" s="33"/>
      <c r="FS168" s="33"/>
      <c r="FT168" s="33"/>
      <c r="FU168" s="33"/>
      <c r="FV168" s="33"/>
      <c r="FW168" s="33"/>
      <c r="FX168" s="33"/>
      <c r="FY168" s="33"/>
      <c r="FZ168" s="33"/>
      <c r="GA168" s="33"/>
    </row>
    <row r="169" ht="15.75" customHeight="1">
      <c r="A169" s="20" t="s">
        <v>412</v>
      </c>
      <c r="B169" s="20"/>
      <c r="C169" s="22"/>
      <c r="D169" s="22"/>
      <c r="E169" s="22"/>
      <c r="F169" s="22"/>
      <c r="G169" s="22"/>
      <c r="H169" s="22"/>
      <c r="I169" s="22"/>
      <c r="J169" s="22"/>
      <c r="K169" s="23"/>
      <c r="L169" s="23"/>
      <c r="M169" s="23"/>
      <c r="N169" s="23"/>
      <c r="O169" s="22"/>
      <c r="P169" s="24"/>
      <c r="Q169" s="24" t="str">
        <f t="shared" si="1"/>
        <v>very fine-grained, banded, white marble</v>
      </c>
      <c r="R169" s="20" t="s">
        <v>188</v>
      </c>
      <c r="S169" s="20" t="s">
        <v>189</v>
      </c>
      <c r="T169" s="20" t="s">
        <v>182</v>
      </c>
      <c r="U169" s="20" t="s">
        <v>413</v>
      </c>
      <c r="V169" s="22"/>
      <c r="W169" s="20" t="s">
        <v>166</v>
      </c>
      <c r="X169" s="20">
        <v>0.5</v>
      </c>
      <c r="Y169" s="20" t="s">
        <v>209</v>
      </c>
      <c r="Z169" s="20" t="s">
        <v>219</v>
      </c>
      <c r="AA169" s="33"/>
      <c r="AB169" s="33"/>
      <c r="AC169" s="33"/>
      <c r="AD169" s="33"/>
      <c r="AE169" s="88"/>
      <c r="AF169" s="33"/>
      <c r="AG169" s="33"/>
      <c r="AH169" s="33"/>
      <c r="AI169" s="33"/>
      <c r="AJ169" s="33"/>
      <c r="AK169" s="33"/>
      <c r="AL169" s="33"/>
      <c r="AM169" s="22"/>
      <c r="AN169" s="22"/>
      <c r="AO169" s="43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141"/>
      <c r="CX169" s="54"/>
      <c r="CY169" s="54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50"/>
      <c r="DK169" s="63"/>
      <c r="DL169" s="63"/>
      <c r="DM169" s="63"/>
      <c r="DN169" s="63"/>
      <c r="DO169" s="63"/>
      <c r="DP169" s="63"/>
      <c r="DQ169" s="63"/>
      <c r="DR169" s="63"/>
      <c r="DS169" s="63"/>
      <c r="DT169" s="63"/>
      <c r="DU169" s="63"/>
      <c r="DV169" s="63"/>
      <c r="DW169" s="63"/>
      <c r="DX169" s="63"/>
      <c r="DY169" s="63"/>
      <c r="DZ169" s="63"/>
      <c r="EA169" s="63"/>
      <c r="EB169" s="63"/>
      <c r="EC169" s="63"/>
      <c r="ED169" s="63"/>
      <c r="EE169" s="63"/>
      <c r="EF169" s="63"/>
      <c r="EG169" s="63"/>
      <c r="EH169" s="63"/>
      <c r="EI169" s="63"/>
      <c r="EJ169" s="63"/>
      <c r="EK169" s="63"/>
      <c r="EL169" s="63"/>
      <c r="EM169" s="63"/>
      <c r="EN169" s="63"/>
      <c r="EO169" s="63"/>
      <c r="EP169" s="63"/>
      <c r="EQ169" s="63"/>
      <c r="ER169" s="63"/>
      <c r="ES169" s="63"/>
      <c r="ET169" s="63"/>
      <c r="EU169" s="63"/>
      <c r="EV169" s="63"/>
      <c r="EW169" s="63"/>
      <c r="EX169" s="63"/>
      <c r="EY169" s="63"/>
      <c r="EZ169" s="40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</row>
    <row r="170" ht="15.75" customHeight="1">
      <c r="A170" s="20" t="s">
        <v>414</v>
      </c>
      <c r="B170" s="20"/>
      <c r="C170" s="22"/>
      <c r="D170" s="22"/>
      <c r="E170" s="22"/>
      <c r="F170" s="22"/>
      <c r="G170" s="22"/>
      <c r="H170" s="22"/>
      <c r="I170" s="22"/>
      <c r="J170" s="22"/>
      <c r="K170" s="23"/>
      <c r="L170" s="23"/>
      <c r="M170" s="23"/>
      <c r="N170" s="23"/>
      <c r="O170" s="22"/>
      <c r="P170" s="24"/>
      <c r="Q170" s="24" t="str">
        <f t="shared" si="1"/>
        <v>coarse-grained, homogeneous, white marble</v>
      </c>
      <c r="R170" s="20" t="s">
        <v>222</v>
      </c>
      <c r="S170" s="20" t="s">
        <v>189</v>
      </c>
      <c r="T170" s="20" t="s">
        <v>194</v>
      </c>
      <c r="U170" s="20" t="s">
        <v>195</v>
      </c>
      <c r="V170" s="22"/>
      <c r="W170" s="20" t="s">
        <v>166</v>
      </c>
      <c r="X170" s="20">
        <v>2.7</v>
      </c>
      <c r="Y170" s="20" t="s">
        <v>191</v>
      </c>
      <c r="Z170" s="20" t="s">
        <v>245</v>
      </c>
      <c r="AA170" s="33"/>
      <c r="AB170" s="33"/>
      <c r="AC170" s="33"/>
      <c r="AD170" s="33"/>
      <c r="AE170" s="88"/>
      <c r="AF170" s="33"/>
      <c r="AG170" s="33"/>
      <c r="AH170" s="33"/>
      <c r="AI170" s="33"/>
      <c r="AJ170" s="33"/>
      <c r="AK170" s="33"/>
      <c r="AL170" s="33"/>
      <c r="AM170" s="22"/>
      <c r="AN170" s="22"/>
      <c r="AO170" s="43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141"/>
      <c r="CX170" s="54"/>
      <c r="CY170" s="54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50"/>
      <c r="DK170" s="63"/>
      <c r="DL170" s="63"/>
      <c r="DM170" s="63"/>
      <c r="DN170" s="63"/>
      <c r="DO170" s="63"/>
      <c r="DP170" s="63"/>
      <c r="DQ170" s="63"/>
      <c r="DR170" s="63"/>
      <c r="DS170" s="63"/>
      <c r="DT170" s="63"/>
      <c r="DU170" s="63"/>
      <c r="DV170" s="63"/>
      <c r="DW170" s="63"/>
      <c r="DX170" s="63"/>
      <c r="DY170" s="63"/>
      <c r="DZ170" s="63"/>
      <c r="EA170" s="63"/>
      <c r="EB170" s="63"/>
      <c r="EC170" s="63"/>
      <c r="ED170" s="63"/>
      <c r="EE170" s="63"/>
      <c r="EF170" s="63"/>
      <c r="EG170" s="63"/>
      <c r="EH170" s="63"/>
      <c r="EI170" s="63"/>
      <c r="EJ170" s="63"/>
      <c r="EK170" s="63"/>
      <c r="EL170" s="63"/>
      <c r="EM170" s="63"/>
      <c r="EN170" s="63"/>
      <c r="EO170" s="63"/>
      <c r="EP170" s="63"/>
      <c r="EQ170" s="63"/>
      <c r="ER170" s="63"/>
      <c r="ES170" s="63"/>
      <c r="ET170" s="63"/>
      <c r="EU170" s="63"/>
      <c r="EV170" s="63"/>
      <c r="EW170" s="63"/>
      <c r="EX170" s="63"/>
      <c r="EY170" s="63"/>
      <c r="EZ170" s="40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</row>
    <row r="171" ht="15.75" customHeight="1">
      <c r="A171" s="20" t="s">
        <v>415</v>
      </c>
      <c r="B171" s="20"/>
      <c r="C171" s="22"/>
      <c r="D171" s="22"/>
      <c r="E171" s="22"/>
      <c r="F171" s="22"/>
      <c r="G171" s="22"/>
      <c r="H171" s="22"/>
      <c r="I171" s="22"/>
      <c r="J171" s="22"/>
      <c r="K171" s="23"/>
      <c r="L171" s="23"/>
      <c r="M171" s="23"/>
      <c r="N171" s="23"/>
      <c r="O171" s="22"/>
      <c r="P171" s="24"/>
      <c r="Q171" s="24" t="str">
        <f t="shared" si="1"/>
        <v>very fine-grained, banded, white marble</v>
      </c>
      <c r="R171" s="20" t="s">
        <v>188</v>
      </c>
      <c r="S171" s="20" t="s">
        <v>189</v>
      </c>
      <c r="T171" s="20" t="s">
        <v>182</v>
      </c>
      <c r="U171" s="20" t="s">
        <v>181</v>
      </c>
      <c r="V171" s="22"/>
      <c r="W171" s="20" t="s">
        <v>166</v>
      </c>
      <c r="X171" s="20">
        <v>0.3</v>
      </c>
      <c r="Y171" s="20" t="s">
        <v>196</v>
      </c>
      <c r="Z171" s="20" t="s">
        <v>184</v>
      </c>
      <c r="AA171" s="33"/>
      <c r="AB171" s="33"/>
      <c r="AC171" s="33"/>
      <c r="AD171" s="33"/>
      <c r="AE171" s="88"/>
      <c r="AF171" s="33"/>
      <c r="AG171" s="33"/>
      <c r="AH171" s="33"/>
      <c r="AI171" s="33"/>
      <c r="AJ171" s="33"/>
      <c r="AK171" s="33"/>
      <c r="AL171" s="33"/>
      <c r="AM171" s="22"/>
      <c r="AN171" s="22"/>
      <c r="AO171" s="43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141"/>
      <c r="CX171" s="54"/>
      <c r="CY171" s="54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50"/>
      <c r="DK171" s="63"/>
      <c r="DL171" s="63"/>
      <c r="DM171" s="63"/>
      <c r="DN171" s="63"/>
      <c r="DO171" s="63"/>
      <c r="DP171" s="63"/>
      <c r="DQ171" s="63"/>
      <c r="DR171" s="63"/>
      <c r="DS171" s="63"/>
      <c r="DT171" s="63"/>
      <c r="DU171" s="63"/>
      <c r="DV171" s="63"/>
      <c r="DW171" s="63"/>
      <c r="DX171" s="63"/>
      <c r="DY171" s="63"/>
      <c r="DZ171" s="63"/>
      <c r="EA171" s="63"/>
      <c r="EB171" s="63"/>
      <c r="EC171" s="63"/>
      <c r="ED171" s="63"/>
      <c r="EE171" s="63"/>
      <c r="EF171" s="63"/>
      <c r="EG171" s="63"/>
      <c r="EH171" s="63"/>
      <c r="EI171" s="63"/>
      <c r="EJ171" s="63"/>
      <c r="EK171" s="63"/>
      <c r="EL171" s="63"/>
      <c r="EM171" s="63"/>
      <c r="EN171" s="63"/>
      <c r="EO171" s="63"/>
      <c r="EP171" s="63"/>
      <c r="EQ171" s="63"/>
      <c r="ER171" s="63"/>
      <c r="ES171" s="63"/>
      <c r="ET171" s="63"/>
      <c r="EU171" s="63"/>
      <c r="EV171" s="63"/>
      <c r="EW171" s="63"/>
      <c r="EX171" s="63"/>
      <c r="EY171" s="63"/>
      <c r="EZ171" s="40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</row>
    <row r="172" ht="15.75" customHeight="1">
      <c r="A172" s="20" t="s">
        <v>416</v>
      </c>
      <c r="B172" s="20"/>
      <c r="C172" s="22"/>
      <c r="D172" s="22"/>
      <c r="E172" s="22"/>
      <c r="F172" s="22"/>
      <c r="G172" s="22"/>
      <c r="H172" s="22"/>
      <c r="I172" s="22"/>
      <c r="J172" s="22"/>
      <c r="K172" s="23"/>
      <c r="L172" s="23"/>
      <c r="M172" s="23"/>
      <c r="N172" s="23"/>
      <c r="O172" s="22"/>
      <c r="P172" s="24"/>
      <c r="Q172" s="24" t="str">
        <f t="shared" si="1"/>
        <v>fine-grained, homogeneous, white marble</v>
      </c>
      <c r="R172" s="20" t="s">
        <v>180</v>
      </c>
      <c r="S172" s="20" t="s">
        <v>189</v>
      </c>
      <c r="T172" s="20" t="s">
        <v>194</v>
      </c>
      <c r="U172" s="20" t="s">
        <v>195</v>
      </c>
      <c r="V172" s="22"/>
      <c r="W172" s="20" t="s">
        <v>166</v>
      </c>
      <c r="X172" s="20">
        <v>0.6</v>
      </c>
      <c r="Y172" s="20" t="s">
        <v>209</v>
      </c>
      <c r="Z172" s="20" t="s">
        <v>184</v>
      </c>
      <c r="AA172" s="33"/>
      <c r="AB172" s="33"/>
      <c r="AC172" s="33"/>
      <c r="AD172" s="33"/>
      <c r="AE172" s="88"/>
      <c r="AF172" s="33"/>
      <c r="AG172" s="33"/>
      <c r="AH172" s="33"/>
      <c r="AI172" s="33"/>
      <c r="AJ172" s="33"/>
      <c r="AK172" s="33"/>
      <c r="AL172" s="33"/>
      <c r="AM172" s="22"/>
      <c r="AN172" s="22"/>
      <c r="AO172" s="43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141"/>
      <c r="CX172" s="54"/>
      <c r="CY172" s="54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50"/>
      <c r="DK172" s="63"/>
      <c r="DL172" s="63"/>
      <c r="DM172" s="63"/>
      <c r="DN172" s="63"/>
      <c r="DO172" s="63"/>
      <c r="DP172" s="63"/>
      <c r="DQ172" s="63"/>
      <c r="DR172" s="63"/>
      <c r="DS172" s="63"/>
      <c r="DT172" s="63"/>
      <c r="DU172" s="63"/>
      <c r="DV172" s="63"/>
      <c r="DW172" s="63"/>
      <c r="DX172" s="63"/>
      <c r="DY172" s="63"/>
      <c r="DZ172" s="63"/>
      <c r="EA172" s="63"/>
      <c r="EB172" s="63"/>
      <c r="EC172" s="63"/>
      <c r="ED172" s="63"/>
      <c r="EE172" s="63"/>
      <c r="EF172" s="63"/>
      <c r="EG172" s="63"/>
      <c r="EH172" s="63"/>
      <c r="EI172" s="63"/>
      <c r="EJ172" s="63"/>
      <c r="EK172" s="63"/>
      <c r="EL172" s="63"/>
      <c r="EM172" s="63"/>
      <c r="EN172" s="63"/>
      <c r="EO172" s="63"/>
      <c r="EP172" s="63"/>
      <c r="EQ172" s="63"/>
      <c r="ER172" s="63"/>
      <c r="ES172" s="63"/>
      <c r="ET172" s="63"/>
      <c r="EU172" s="63"/>
      <c r="EV172" s="63"/>
      <c r="EW172" s="63"/>
      <c r="EX172" s="63"/>
      <c r="EY172" s="63"/>
      <c r="EZ172" s="40"/>
      <c r="FA172" s="33"/>
      <c r="FB172" s="33"/>
      <c r="FC172" s="33"/>
      <c r="FD172" s="33"/>
      <c r="FE172" s="33"/>
      <c r="FF172" s="33"/>
      <c r="FG172" s="33"/>
      <c r="FH172" s="33"/>
      <c r="FI172" s="33"/>
      <c r="FJ172" s="33"/>
      <c r="FK172" s="33"/>
      <c r="FL172" s="33"/>
      <c r="FM172" s="33"/>
      <c r="FN172" s="33"/>
      <c r="FO172" s="33"/>
      <c r="FP172" s="33"/>
      <c r="FQ172" s="33"/>
      <c r="FR172" s="33"/>
      <c r="FS172" s="33"/>
      <c r="FT172" s="33"/>
      <c r="FU172" s="33"/>
      <c r="FV172" s="33"/>
      <c r="FW172" s="33"/>
      <c r="FX172" s="33"/>
      <c r="FY172" s="33"/>
      <c r="FZ172" s="33"/>
      <c r="GA172" s="33"/>
    </row>
    <row r="173" ht="15.75" customHeight="1">
      <c r="A173" s="20" t="s">
        <v>417</v>
      </c>
      <c r="B173" s="20"/>
      <c r="C173" s="22"/>
      <c r="D173" s="22"/>
      <c r="E173" s="22"/>
      <c r="F173" s="22"/>
      <c r="G173" s="22"/>
      <c r="H173" s="22"/>
      <c r="I173" s="22"/>
      <c r="J173" s="22"/>
      <c r="K173" s="23"/>
      <c r="L173" s="23"/>
      <c r="M173" s="23"/>
      <c r="N173" s="23"/>
      <c r="O173" s="22"/>
      <c r="P173" s="24"/>
      <c r="Q173" s="24" t="str">
        <f t="shared" si="1"/>
        <v>fine-grained, banded, white marble</v>
      </c>
      <c r="R173" s="20" t="s">
        <v>180</v>
      </c>
      <c r="S173" s="20" t="s">
        <v>189</v>
      </c>
      <c r="T173" s="20" t="s">
        <v>182</v>
      </c>
      <c r="U173" s="20" t="s">
        <v>181</v>
      </c>
      <c r="V173" s="22"/>
      <c r="W173" s="20" t="s">
        <v>166</v>
      </c>
      <c r="X173" s="20">
        <v>1.4</v>
      </c>
      <c r="Y173" s="20" t="s">
        <v>191</v>
      </c>
      <c r="Z173" s="20" t="s">
        <v>184</v>
      </c>
      <c r="AA173" s="33"/>
      <c r="AB173" s="33"/>
      <c r="AC173" s="33"/>
      <c r="AD173" s="33"/>
      <c r="AE173" s="88"/>
      <c r="AF173" s="33"/>
      <c r="AG173" s="33"/>
      <c r="AH173" s="33"/>
      <c r="AI173" s="33"/>
      <c r="AJ173" s="33"/>
      <c r="AK173" s="33"/>
      <c r="AL173" s="33"/>
      <c r="AM173" s="22"/>
      <c r="AN173" s="22"/>
      <c r="AO173" s="43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141"/>
      <c r="CX173" s="54"/>
      <c r="CY173" s="54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50"/>
      <c r="DK173" s="63"/>
      <c r="DL173" s="63"/>
      <c r="DM173" s="63"/>
      <c r="DN173" s="63"/>
      <c r="DO173" s="63"/>
      <c r="DP173" s="63"/>
      <c r="DQ173" s="63"/>
      <c r="DR173" s="63"/>
      <c r="DS173" s="63"/>
      <c r="DT173" s="63"/>
      <c r="DU173" s="63"/>
      <c r="DV173" s="63"/>
      <c r="DW173" s="63"/>
      <c r="DX173" s="63"/>
      <c r="DY173" s="63"/>
      <c r="DZ173" s="63"/>
      <c r="EA173" s="63"/>
      <c r="EB173" s="63"/>
      <c r="EC173" s="63"/>
      <c r="ED173" s="63"/>
      <c r="EE173" s="63"/>
      <c r="EF173" s="63"/>
      <c r="EG173" s="63"/>
      <c r="EH173" s="63"/>
      <c r="EI173" s="63"/>
      <c r="EJ173" s="63"/>
      <c r="EK173" s="63"/>
      <c r="EL173" s="63"/>
      <c r="EM173" s="63"/>
      <c r="EN173" s="63"/>
      <c r="EO173" s="63"/>
      <c r="EP173" s="63"/>
      <c r="EQ173" s="63"/>
      <c r="ER173" s="63"/>
      <c r="ES173" s="63"/>
      <c r="ET173" s="63"/>
      <c r="EU173" s="63"/>
      <c r="EV173" s="63"/>
      <c r="EW173" s="63"/>
      <c r="EX173" s="63"/>
      <c r="EY173" s="63"/>
      <c r="EZ173" s="40"/>
      <c r="FA173" s="33"/>
      <c r="FB173" s="33"/>
      <c r="FC173" s="33"/>
      <c r="FD173" s="33"/>
      <c r="FE173" s="33"/>
      <c r="FF173" s="33"/>
      <c r="FG173" s="33"/>
      <c r="FH173" s="33"/>
      <c r="FI173" s="33"/>
      <c r="FJ173" s="33"/>
      <c r="FK173" s="33"/>
      <c r="FL173" s="33"/>
      <c r="FM173" s="33"/>
      <c r="FN173" s="33"/>
      <c r="FO173" s="33"/>
      <c r="FP173" s="33"/>
      <c r="FQ173" s="33"/>
      <c r="FR173" s="33"/>
      <c r="FS173" s="33"/>
      <c r="FT173" s="33"/>
      <c r="FU173" s="33"/>
      <c r="FV173" s="33"/>
      <c r="FW173" s="33"/>
      <c r="FX173" s="33"/>
      <c r="FY173" s="33"/>
      <c r="FZ173" s="33"/>
      <c r="GA173" s="33"/>
    </row>
    <row r="174" ht="15.75" customHeight="1">
      <c r="A174" s="20" t="s">
        <v>418</v>
      </c>
      <c r="B174" s="20"/>
      <c r="C174" s="22"/>
      <c r="D174" s="22"/>
      <c r="E174" s="22"/>
      <c r="F174" s="22"/>
      <c r="G174" s="22"/>
      <c r="H174" s="22"/>
      <c r="I174" s="22"/>
      <c r="J174" s="22"/>
      <c r="K174" s="23"/>
      <c r="L174" s="23"/>
      <c r="M174" s="23"/>
      <c r="N174" s="23"/>
      <c r="O174" s="22"/>
      <c r="P174" s="24"/>
      <c r="Q174" s="24" t="str">
        <f t="shared" si="1"/>
        <v>fine-grained, homogeneous, white marble</v>
      </c>
      <c r="R174" s="20" t="s">
        <v>180</v>
      </c>
      <c r="S174" s="20" t="s">
        <v>189</v>
      </c>
      <c r="T174" s="20" t="s">
        <v>194</v>
      </c>
      <c r="U174" s="20" t="s">
        <v>195</v>
      </c>
      <c r="V174" s="22"/>
      <c r="W174" s="20" t="s">
        <v>166</v>
      </c>
      <c r="X174" s="20">
        <v>1.7</v>
      </c>
      <c r="Y174" s="20" t="s">
        <v>191</v>
      </c>
      <c r="Z174" s="20" t="s">
        <v>198</v>
      </c>
      <c r="AA174" s="33"/>
      <c r="AB174" s="33"/>
      <c r="AC174" s="33"/>
      <c r="AD174" s="33"/>
      <c r="AE174" s="88"/>
      <c r="AF174" s="33"/>
      <c r="AG174" s="33"/>
      <c r="AH174" s="33"/>
      <c r="AI174" s="33"/>
      <c r="AJ174" s="33"/>
      <c r="AK174" s="33"/>
      <c r="AL174" s="33"/>
      <c r="AM174" s="22"/>
      <c r="AN174" s="22"/>
      <c r="AO174" s="43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  <c r="CW174" s="141"/>
      <c r="CX174" s="54"/>
      <c r="CY174" s="54"/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50"/>
      <c r="DK174" s="63"/>
      <c r="DL174" s="63"/>
      <c r="DM174" s="63"/>
      <c r="DN174" s="63"/>
      <c r="DO174" s="63"/>
      <c r="DP174" s="63"/>
      <c r="DQ174" s="63"/>
      <c r="DR174" s="63"/>
      <c r="DS174" s="63"/>
      <c r="DT174" s="63"/>
      <c r="DU174" s="63"/>
      <c r="DV174" s="63"/>
      <c r="DW174" s="63"/>
      <c r="DX174" s="63"/>
      <c r="DY174" s="63"/>
      <c r="DZ174" s="63"/>
      <c r="EA174" s="63"/>
      <c r="EB174" s="63"/>
      <c r="EC174" s="63"/>
      <c r="ED174" s="63"/>
      <c r="EE174" s="63"/>
      <c r="EF174" s="63"/>
      <c r="EG174" s="63"/>
      <c r="EH174" s="63"/>
      <c r="EI174" s="63"/>
      <c r="EJ174" s="63"/>
      <c r="EK174" s="63"/>
      <c r="EL174" s="63"/>
      <c r="EM174" s="63"/>
      <c r="EN174" s="63"/>
      <c r="EO174" s="63"/>
      <c r="EP174" s="63"/>
      <c r="EQ174" s="63"/>
      <c r="ER174" s="63"/>
      <c r="ES174" s="63"/>
      <c r="ET174" s="63"/>
      <c r="EU174" s="63"/>
      <c r="EV174" s="63"/>
      <c r="EW174" s="63"/>
      <c r="EX174" s="63"/>
      <c r="EY174" s="63"/>
      <c r="EZ174" s="40"/>
      <c r="FA174" s="33"/>
      <c r="FB174" s="33"/>
      <c r="FC174" s="33"/>
      <c r="FD174" s="33"/>
      <c r="FE174" s="33"/>
      <c r="FF174" s="33"/>
      <c r="FG174" s="33"/>
      <c r="FH174" s="33"/>
      <c r="FI174" s="33"/>
      <c r="FJ174" s="33"/>
      <c r="FK174" s="33"/>
      <c r="FL174" s="33"/>
      <c r="FM174" s="33"/>
      <c r="FN174" s="33"/>
      <c r="FO174" s="33"/>
      <c r="FP174" s="33"/>
      <c r="FQ174" s="33"/>
      <c r="FR174" s="33"/>
      <c r="FS174" s="33"/>
      <c r="FT174" s="33"/>
      <c r="FU174" s="33"/>
      <c r="FV174" s="33"/>
      <c r="FW174" s="33"/>
      <c r="FX174" s="33"/>
      <c r="FY174" s="33"/>
      <c r="FZ174" s="33"/>
      <c r="GA174" s="33"/>
    </row>
    <row r="175" ht="15.75" customHeight="1">
      <c r="A175" s="20" t="s">
        <v>419</v>
      </c>
      <c r="B175" s="20"/>
      <c r="C175" s="22"/>
      <c r="D175" s="22"/>
      <c r="E175" s="22"/>
      <c r="F175" s="22"/>
      <c r="G175" s="22"/>
      <c r="H175" s="22"/>
      <c r="I175" s="22"/>
      <c r="J175" s="22"/>
      <c r="K175" s="23"/>
      <c r="L175" s="23"/>
      <c r="M175" s="23"/>
      <c r="N175" s="23"/>
      <c r="O175" s="22"/>
      <c r="P175" s="24"/>
      <c r="Q175" s="24" t="str">
        <f t="shared" si="1"/>
        <v>fine-grained, veined, white marble</v>
      </c>
      <c r="R175" s="20" t="s">
        <v>180</v>
      </c>
      <c r="S175" s="20" t="s">
        <v>189</v>
      </c>
      <c r="T175" s="20" t="s">
        <v>206</v>
      </c>
      <c r="U175" s="20" t="s">
        <v>248</v>
      </c>
      <c r="V175" s="22"/>
      <c r="W175" s="20" t="s">
        <v>166</v>
      </c>
      <c r="X175" s="20">
        <v>0.7</v>
      </c>
      <c r="Y175" s="20" t="s">
        <v>196</v>
      </c>
      <c r="Z175" s="20" t="s">
        <v>184</v>
      </c>
      <c r="AA175" s="33"/>
      <c r="AB175" s="33"/>
      <c r="AC175" s="33"/>
      <c r="AD175" s="33"/>
      <c r="AE175" s="88"/>
      <c r="AF175" s="33"/>
      <c r="AG175" s="33"/>
      <c r="AH175" s="33"/>
      <c r="AI175" s="33"/>
      <c r="AJ175" s="33"/>
      <c r="AK175" s="33"/>
      <c r="AL175" s="33"/>
      <c r="AM175" s="22"/>
      <c r="AN175" s="22"/>
      <c r="AO175" s="43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141"/>
      <c r="CX175" s="54"/>
      <c r="CY175" s="54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50"/>
      <c r="DK175" s="63"/>
      <c r="DL175" s="63"/>
      <c r="DM175" s="63"/>
      <c r="DN175" s="63"/>
      <c r="DO175" s="63"/>
      <c r="DP175" s="63"/>
      <c r="DQ175" s="63"/>
      <c r="DR175" s="63"/>
      <c r="DS175" s="63"/>
      <c r="DT175" s="63"/>
      <c r="DU175" s="63"/>
      <c r="DV175" s="63"/>
      <c r="DW175" s="63"/>
      <c r="DX175" s="63"/>
      <c r="DY175" s="63"/>
      <c r="DZ175" s="63"/>
      <c r="EA175" s="63"/>
      <c r="EB175" s="63"/>
      <c r="EC175" s="63"/>
      <c r="ED175" s="63"/>
      <c r="EE175" s="63"/>
      <c r="EF175" s="63"/>
      <c r="EG175" s="63"/>
      <c r="EH175" s="63"/>
      <c r="EI175" s="63"/>
      <c r="EJ175" s="63"/>
      <c r="EK175" s="63"/>
      <c r="EL175" s="63"/>
      <c r="EM175" s="63"/>
      <c r="EN175" s="63"/>
      <c r="EO175" s="63"/>
      <c r="EP175" s="63"/>
      <c r="EQ175" s="63"/>
      <c r="ER175" s="63"/>
      <c r="ES175" s="63"/>
      <c r="ET175" s="63"/>
      <c r="EU175" s="63"/>
      <c r="EV175" s="63"/>
      <c r="EW175" s="63"/>
      <c r="EX175" s="63"/>
      <c r="EY175" s="63"/>
      <c r="EZ175" s="40"/>
      <c r="FA175" s="33"/>
      <c r="FB175" s="33"/>
      <c r="FC175" s="33"/>
      <c r="FD175" s="33"/>
      <c r="FE175" s="33"/>
      <c r="FF175" s="33"/>
      <c r="FG175" s="33"/>
      <c r="FH175" s="33"/>
      <c r="FI175" s="33"/>
      <c r="FJ175" s="33"/>
      <c r="FK175" s="33"/>
      <c r="FL175" s="33"/>
      <c r="FM175" s="33"/>
      <c r="FN175" s="33"/>
      <c r="FO175" s="33"/>
      <c r="FP175" s="33"/>
      <c r="FQ175" s="33"/>
      <c r="FR175" s="33"/>
      <c r="FS175" s="33"/>
      <c r="FT175" s="33"/>
      <c r="FU175" s="33"/>
      <c r="FV175" s="33"/>
      <c r="FW175" s="33"/>
      <c r="FX175" s="33"/>
      <c r="FY175" s="33"/>
      <c r="FZ175" s="33"/>
      <c r="GA175" s="33"/>
    </row>
    <row r="176" ht="15.75" customHeight="1">
      <c r="A176" s="20" t="s">
        <v>420</v>
      </c>
      <c r="B176" s="20"/>
      <c r="C176" s="22"/>
      <c r="D176" s="22"/>
      <c r="E176" s="22"/>
      <c r="F176" s="22"/>
      <c r="G176" s="22"/>
      <c r="H176" s="22"/>
      <c r="I176" s="22"/>
      <c r="J176" s="22"/>
      <c r="K176" s="23"/>
      <c r="L176" s="23"/>
      <c r="M176" s="23"/>
      <c r="N176" s="23"/>
      <c r="O176" s="22"/>
      <c r="P176" s="24"/>
      <c r="Q176" s="24" t="str">
        <f t="shared" si="1"/>
        <v>coarse-grained, homogeneous, white marble</v>
      </c>
      <c r="R176" s="20" t="s">
        <v>222</v>
      </c>
      <c r="S176" s="20" t="s">
        <v>189</v>
      </c>
      <c r="T176" s="20" t="s">
        <v>194</v>
      </c>
      <c r="U176" s="20" t="s">
        <v>195</v>
      </c>
      <c r="V176" s="22"/>
      <c r="W176" s="20" t="s">
        <v>166</v>
      </c>
      <c r="X176" s="20">
        <v>3.5</v>
      </c>
      <c r="Y176" s="20" t="s">
        <v>191</v>
      </c>
      <c r="Z176" s="20" t="s">
        <v>198</v>
      </c>
      <c r="AA176" s="33"/>
      <c r="AB176" s="33"/>
      <c r="AC176" s="33"/>
      <c r="AD176" s="33"/>
      <c r="AE176" s="88"/>
      <c r="AF176" s="33"/>
      <c r="AG176" s="33"/>
      <c r="AH176" s="33"/>
      <c r="AI176" s="33"/>
      <c r="AJ176" s="33"/>
      <c r="AK176" s="33"/>
      <c r="AL176" s="33"/>
      <c r="AM176" s="22"/>
      <c r="AN176" s="22"/>
      <c r="AO176" s="43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141"/>
      <c r="CX176" s="54"/>
      <c r="CY176" s="54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50"/>
      <c r="DK176" s="63"/>
      <c r="DL176" s="63"/>
      <c r="DM176" s="63"/>
      <c r="DN176" s="63"/>
      <c r="DO176" s="63"/>
      <c r="DP176" s="63"/>
      <c r="DQ176" s="63"/>
      <c r="DR176" s="63"/>
      <c r="DS176" s="63"/>
      <c r="DT176" s="63"/>
      <c r="DU176" s="63"/>
      <c r="DV176" s="63"/>
      <c r="DW176" s="63"/>
      <c r="DX176" s="63"/>
      <c r="DY176" s="63"/>
      <c r="DZ176" s="63"/>
      <c r="EA176" s="63"/>
      <c r="EB176" s="63"/>
      <c r="EC176" s="63"/>
      <c r="ED176" s="63"/>
      <c r="EE176" s="63"/>
      <c r="EF176" s="63"/>
      <c r="EG176" s="63"/>
      <c r="EH176" s="63"/>
      <c r="EI176" s="63"/>
      <c r="EJ176" s="63"/>
      <c r="EK176" s="63"/>
      <c r="EL176" s="63"/>
      <c r="EM176" s="63"/>
      <c r="EN176" s="63"/>
      <c r="EO176" s="63"/>
      <c r="EP176" s="63"/>
      <c r="EQ176" s="63"/>
      <c r="ER176" s="63"/>
      <c r="ES176" s="63"/>
      <c r="ET176" s="63"/>
      <c r="EU176" s="63"/>
      <c r="EV176" s="63"/>
      <c r="EW176" s="63"/>
      <c r="EX176" s="63"/>
      <c r="EY176" s="63"/>
      <c r="EZ176" s="40"/>
      <c r="FA176" s="33"/>
      <c r="FB176" s="33"/>
      <c r="FC176" s="33"/>
      <c r="FD176" s="33"/>
      <c r="FE176" s="33"/>
      <c r="FF176" s="33"/>
      <c r="FG176" s="33"/>
      <c r="FH176" s="33"/>
      <c r="FI176" s="33"/>
      <c r="FJ176" s="33"/>
      <c r="FK176" s="33"/>
      <c r="FL176" s="33"/>
      <c r="FM176" s="33"/>
      <c r="FN176" s="33"/>
      <c r="FO176" s="33"/>
      <c r="FP176" s="33"/>
      <c r="FQ176" s="33"/>
      <c r="FR176" s="33"/>
      <c r="FS176" s="33"/>
      <c r="FT176" s="33"/>
      <c r="FU176" s="33"/>
      <c r="FV176" s="33"/>
      <c r="FW176" s="33"/>
      <c r="FX176" s="33"/>
      <c r="FY176" s="33"/>
      <c r="FZ176" s="33"/>
      <c r="GA176" s="33"/>
    </row>
    <row r="177" ht="15.75" customHeight="1">
      <c r="A177" s="20" t="s">
        <v>421</v>
      </c>
      <c r="B177" s="20"/>
      <c r="C177" s="22"/>
      <c r="D177" s="22"/>
      <c r="E177" s="22"/>
      <c r="F177" s="22"/>
      <c r="G177" s="22"/>
      <c r="H177" s="22"/>
      <c r="I177" s="22"/>
      <c r="J177" s="22"/>
      <c r="K177" s="23"/>
      <c r="L177" s="23"/>
      <c r="M177" s="23"/>
      <c r="N177" s="23"/>
      <c r="O177" s="22"/>
      <c r="P177" s="24"/>
      <c r="Q177" s="24" t="str">
        <f t="shared" si="1"/>
        <v>very fine-grained, banded, white marble</v>
      </c>
      <c r="R177" s="20" t="s">
        <v>188</v>
      </c>
      <c r="S177" s="20" t="s">
        <v>189</v>
      </c>
      <c r="T177" s="20" t="s">
        <v>182</v>
      </c>
      <c r="U177" s="20" t="s">
        <v>181</v>
      </c>
      <c r="V177" s="22"/>
      <c r="W177" s="20" t="s">
        <v>166</v>
      </c>
      <c r="X177" s="20">
        <v>0.5</v>
      </c>
      <c r="Y177" s="20" t="s">
        <v>209</v>
      </c>
      <c r="Z177" s="20" t="s">
        <v>213</v>
      </c>
      <c r="AA177" s="33"/>
      <c r="AB177" s="33"/>
      <c r="AC177" s="33"/>
      <c r="AD177" s="33"/>
      <c r="AE177" s="88"/>
      <c r="AF177" s="33"/>
      <c r="AG177" s="33"/>
      <c r="AH177" s="33"/>
      <c r="AI177" s="33"/>
      <c r="AJ177" s="33"/>
      <c r="AK177" s="33"/>
      <c r="AL177" s="33"/>
      <c r="AM177" s="22"/>
      <c r="AN177" s="22"/>
      <c r="AO177" s="43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33"/>
      <c r="CF177" s="33"/>
      <c r="CG177" s="33"/>
      <c r="CH177" s="33"/>
      <c r="CI177" s="33"/>
      <c r="CJ177" s="33"/>
      <c r="CK177" s="33"/>
      <c r="CL177" s="33"/>
      <c r="CM177" s="33"/>
      <c r="CN177" s="33"/>
      <c r="CO177" s="33"/>
      <c r="CP177" s="33"/>
      <c r="CQ177" s="33"/>
      <c r="CR177" s="33"/>
      <c r="CS177" s="33"/>
      <c r="CT177" s="33"/>
      <c r="CU177" s="33"/>
      <c r="CV177" s="33"/>
      <c r="CW177" s="141"/>
      <c r="CX177" s="54"/>
      <c r="CY177" s="54"/>
      <c r="CZ177" s="33"/>
      <c r="DA177" s="33"/>
      <c r="DB177" s="33"/>
      <c r="DC177" s="33"/>
      <c r="DD177" s="33"/>
      <c r="DE177" s="33"/>
      <c r="DF177" s="33"/>
      <c r="DG177" s="33"/>
      <c r="DH177" s="33"/>
      <c r="DI177" s="33"/>
      <c r="DJ177" s="50"/>
      <c r="DK177" s="63"/>
      <c r="DL177" s="63"/>
      <c r="DM177" s="63"/>
      <c r="DN177" s="63"/>
      <c r="DO177" s="63"/>
      <c r="DP177" s="63"/>
      <c r="DQ177" s="63"/>
      <c r="DR177" s="63"/>
      <c r="DS177" s="63"/>
      <c r="DT177" s="63"/>
      <c r="DU177" s="63"/>
      <c r="DV177" s="63"/>
      <c r="DW177" s="63"/>
      <c r="DX177" s="63"/>
      <c r="DY177" s="63"/>
      <c r="DZ177" s="63"/>
      <c r="EA177" s="63"/>
      <c r="EB177" s="63"/>
      <c r="EC177" s="63"/>
      <c r="ED177" s="63"/>
      <c r="EE177" s="63"/>
      <c r="EF177" s="63"/>
      <c r="EG177" s="63"/>
      <c r="EH177" s="63"/>
      <c r="EI177" s="63"/>
      <c r="EJ177" s="63"/>
      <c r="EK177" s="63"/>
      <c r="EL177" s="63"/>
      <c r="EM177" s="63"/>
      <c r="EN177" s="63"/>
      <c r="EO177" s="63"/>
      <c r="EP177" s="63"/>
      <c r="EQ177" s="63"/>
      <c r="ER177" s="63"/>
      <c r="ES177" s="63"/>
      <c r="ET177" s="63"/>
      <c r="EU177" s="63"/>
      <c r="EV177" s="63"/>
      <c r="EW177" s="63"/>
      <c r="EX177" s="63"/>
      <c r="EY177" s="63"/>
      <c r="EZ177" s="40"/>
      <c r="FA177" s="33"/>
      <c r="FB177" s="33"/>
      <c r="FC177" s="33"/>
      <c r="FD177" s="33"/>
      <c r="FE177" s="33"/>
      <c r="FF177" s="33"/>
      <c r="FG177" s="33"/>
      <c r="FH177" s="33"/>
      <c r="FI177" s="33"/>
      <c r="FJ177" s="33"/>
      <c r="FK177" s="33"/>
      <c r="FL177" s="33"/>
      <c r="FM177" s="33"/>
      <c r="FN177" s="33"/>
      <c r="FO177" s="33"/>
      <c r="FP177" s="33"/>
      <c r="FQ177" s="33"/>
      <c r="FR177" s="33"/>
      <c r="FS177" s="33"/>
      <c r="FT177" s="33"/>
      <c r="FU177" s="33"/>
      <c r="FV177" s="33"/>
      <c r="FW177" s="33"/>
      <c r="FX177" s="33"/>
      <c r="FY177" s="33"/>
      <c r="FZ177" s="33"/>
      <c r="GA177" s="33"/>
    </row>
    <row r="178" ht="15.75" customHeight="1">
      <c r="A178" s="20" t="s">
        <v>422</v>
      </c>
      <c r="B178" s="20"/>
      <c r="C178" s="22"/>
      <c r="D178" s="22"/>
      <c r="E178" s="22"/>
      <c r="F178" s="22"/>
      <c r="G178" s="22"/>
      <c r="H178" s="22"/>
      <c r="I178" s="22"/>
      <c r="J178" s="22"/>
      <c r="K178" s="23"/>
      <c r="L178" s="23"/>
      <c r="M178" s="23"/>
      <c r="N178" s="23"/>
      <c r="O178" s="22"/>
      <c r="P178" s="24"/>
      <c r="Q178" s="24" t="str">
        <f t="shared" si="1"/>
        <v>medium-grained, homogeneous, white marble</v>
      </c>
      <c r="R178" s="20" t="s">
        <v>205</v>
      </c>
      <c r="S178" s="20" t="s">
        <v>189</v>
      </c>
      <c r="T178" s="20" t="s">
        <v>194</v>
      </c>
      <c r="U178" s="20" t="s">
        <v>195</v>
      </c>
      <c r="V178" s="22"/>
      <c r="W178" s="20" t="s">
        <v>166</v>
      </c>
      <c r="X178" s="20">
        <v>2.2</v>
      </c>
      <c r="Y178" s="20" t="s">
        <v>209</v>
      </c>
      <c r="Z178" s="20" t="s">
        <v>213</v>
      </c>
      <c r="AA178" s="33"/>
      <c r="AB178" s="33"/>
      <c r="AC178" s="33"/>
      <c r="AD178" s="33"/>
      <c r="AE178" s="88"/>
      <c r="AF178" s="33"/>
      <c r="AG178" s="33"/>
      <c r="AH178" s="33"/>
      <c r="AI178" s="33"/>
      <c r="AJ178" s="33"/>
      <c r="AK178" s="33"/>
      <c r="AL178" s="33"/>
      <c r="AM178" s="22"/>
      <c r="AN178" s="22"/>
      <c r="AO178" s="43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33"/>
      <c r="CF178" s="33"/>
      <c r="CG178" s="33"/>
      <c r="CH178" s="33"/>
      <c r="CI178" s="33"/>
      <c r="CJ178" s="33"/>
      <c r="CK178" s="33"/>
      <c r="CL178" s="33"/>
      <c r="CM178" s="33"/>
      <c r="CN178" s="33"/>
      <c r="CO178" s="33"/>
      <c r="CP178" s="33"/>
      <c r="CQ178" s="33"/>
      <c r="CR178" s="33"/>
      <c r="CS178" s="33"/>
      <c r="CT178" s="33"/>
      <c r="CU178" s="33"/>
      <c r="CV178" s="33"/>
      <c r="CW178" s="141"/>
      <c r="CX178" s="54"/>
      <c r="CY178" s="54"/>
      <c r="CZ178" s="33"/>
      <c r="DA178" s="33"/>
      <c r="DB178" s="33"/>
      <c r="DC178" s="33"/>
      <c r="DD178" s="33"/>
      <c r="DE178" s="33"/>
      <c r="DF178" s="33"/>
      <c r="DG178" s="33"/>
      <c r="DH178" s="33"/>
      <c r="DI178" s="33"/>
      <c r="DJ178" s="50"/>
      <c r="DK178" s="63"/>
      <c r="DL178" s="63"/>
      <c r="DM178" s="63"/>
      <c r="DN178" s="63"/>
      <c r="DO178" s="63"/>
      <c r="DP178" s="63"/>
      <c r="DQ178" s="63"/>
      <c r="DR178" s="63"/>
      <c r="DS178" s="63"/>
      <c r="DT178" s="63"/>
      <c r="DU178" s="63"/>
      <c r="DV178" s="63"/>
      <c r="DW178" s="63"/>
      <c r="DX178" s="63"/>
      <c r="DY178" s="63"/>
      <c r="DZ178" s="63"/>
      <c r="EA178" s="63"/>
      <c r="EB178" s="63"/>
      <c r="EC178" s="63"/>
      <c r="ED178" s="63"/>
      <c r="EE178" s="63"/>
      <c r="EF178" s="63"/>
      <c r="EG178" s="63"/>
      <c r="EH178" s="63"/>
      <c r="EI178" s="63"/>
      <c r="EJ178" s="63"/>
      <c r="EK178" s="63"/>
      <c r="EL178" s="63"/>
      <c r="EM178" s="63"/>
      <c r="EN178" s="63"/>
      <c r="EO178" s="63"/>
      <c r="EP178" s="63"/>
      <c r="EQ178" s="63"/>
      <c r="ER178" s="63"/>
      <c r="ES178" s="63"/>
      <c r="ET178" s="63"/>
      <c r="EU178" s="63"/>
      <c r="EV178" s="63"/>
      <c r="EW178" s="63"/>
      <c r="EX178" s="63"/>
      <c r="EY178" s="63"/>
      <c r="EZ178" s="40"/>
      <c r="FA178" s="33"/>
      <c r="FB178" s="33"/>
      <c r="FC178" s="33"/>
      <c r="FD178" s="33"/>
      <c r="FE178" s="33"/>
      <c r="FF178" s="33"/>
      <c r="FG178" s="33"/>
      <c r="FH178" s="33"/>
      <c r="FI178" s="33"/>
      <c r="FJ178" s="33"/>
      <c r="FK178" s="33"/>
      <c r="FL178" s="33"/>
      <c r="FM178" s="33"/>
      <c r="FN178" s="33"/>
      <c r="FO178" s="33"/>
      <c r="FP178" s="33"/>
      <c r="FQ178" s="33"/>
      <c r="FR178" s="33"/>
      <c r="FS178" s="33"/>
      <c r="FT178" s="33"/>
      <c r="FU178" s="33"/>
      <c r="FV178" s="33"/>
      <c r="FW178" s="33"/>
      <c r="FX178" s="33"/>
      <c r="FY178" s="33"/>
      <c r="FZ178" s="33"/>
      <c r="GA178" s="33"/>
    </row>
    <row r="179" ht="15.75" customHeight="1">
      <c r="A179" s="20" t="s">
        <v>423</v>
      </c>
      <c r="B179" s="20"/>
      <c r="C179" s="22"/>
      <c r="D179" s="22"/>
      <c r="E179" s="22"/>
      <c r="F179" s="22"/>
      <c r="G179" s="22"/>
      <c r="H179" s="22"/>
      <c r="I179" s="22"/>
      <c r="J179" s="22"/>
      <c r="K179" s="23"/>
      <c r="L179" s="23"/>
      <c r="M179" s="23"/>
      <c r="N179" s="23"/>
      <c r="O179" s="22"/>
      <c r="P179" s="24"/>
      <c r="Q179" s="24" t="str">
        <f t="shared" si="1"/>
        <v>fine-grained, veined and banded, white marble</v>
      </c>
      <c r="R179" s="20" t="s">
        <v>180</v>
      </c>
      <c r="S179" s="20" t="s">
        <v>189</v>
      </c>
      <c r="T179" s="20" t="s">
        <v>216</v>
      </c>
      <c r="U179" s="20" t="s">
        <v>254</v>
      </c>
      <c r="V179" s="22"/>
      <c r="W179" s="20" t="s">
        <v>165</v>
      </c>
      <c r="X179" s="22"/>
      <c r="Y179" s="22"/>
      <c r="Z179" s="22"/>
      <c r="AA179" s="33"/>
      <c r="AB179" s="33"/>
      <c r="AC179" s="33"/>
      <c r="AD179" s="33"/>
      <c r="AE179" s="88"/>
      <c r="AF179" s="33"/>
      <c r="AG179" s="33"/>
      <c r="AH179" s="33"/>
      <c r="AI179" s="33"/>
      <c r="AJ179" s="33"/>
      <c r="AK179" s="33"/>
      <c r="AL179" s="33"/>
      <c r="AM179" s="22"/>
      <c r="AN179" s="22"/>
      <c r="AO179" s="43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141"/>
      <c r="CX179" s="54"/>
      <c r="CY179" s="54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50"/>
      <c r="DK179" s="63"/>
      <c r="DL179" s="63"/>
      <c r="DM179" s="63"/>
      <c r="DN179" s="63"/>
      <c r="DO179" s="63"/>
      <c r="DP179" s="63"/>
      <c r="DQ179" s="63"/>
      <c r="DR179" s="63"/>
      <c r="DS179" s="63"/>
      <c r="DT179" s="63"/>
      <c r="DU179" s="63"/>
      <c r="DV179" s="63"/>
      <c r="DW179" s="63"/>
      <c r="DX179" s="63"/>
      <c r="DY179" s="63"/>
      <c r="DZ179" s="63"/>
      <c r="EA179" s="63"/>
      <c r="EB179" s="63"/>
      <c r="EC179" s="63"/>
      <c r="ED179" s="63"/>
      <c r="EE179" s="63"/>
      <c r="EF179" s="63"/>
      <c r="EG179" s="63"/>
      <c r="EH179" s="63"/>
      <c r="EI179" s="63"/>
      <c r="EJ179" s="63"/>
      <c r="EK179" s="63"/>
      <c r="EL179" s="63"/>
      <c r="EM179" s="63"/>
      <c r="EN179" s="63"/>
      <c r="EO179" s="63"/>
      <c r="EP179" s="63"/>
      <c r="EQ179" s="63"/>
      <c r="ER179" s="63"/>
      <c r="ES179" s="63"/>
      <c r="ET179" s="63"/>
      <c r="EU179" s="63"/>
      <c r="EV179" s="63"/>
      <c r="EW179" s="63"/>
      <c r="EX179" s="63"/>
      <c r="EY179" s="63"/>
      <c r="EZ179" s="40"/>
      <c r="FA179" s="33"/>
      <c r="FB179" s="33"/>
      <c r="FC179" s="33"/>
      <c r="FD179" s="33"/>
      <c r="FE179" s="33"/>
      <c r="FF179" s="33"/>
      <c r="FG179" s="33"/>
      <c r="FH179" s="33"/>
      <c r="FI179" s="33"/>
      <c r="FJ179" s="33"/>
      <c r="FK179" s="33"/>
      <c r="FL179" s="33"/>
      <c r="FM179" s="33"/>
      <c r="FN179" s="33"/>
      <c r="FO179" s="33"/>
      <c r="FP179" s="33"/>
      <c r="FQ179" s="33"/>
      <c r="FR179" s="33"/>
      <c r="FS179" s="33"/>
      <c r="FT179" s="33"/>
      <c r="FU179" s="33"/>
      <c r="FV179" s="33"/>
      <c r="FW179" s="33"/>
      <c r="FX179" s="33"/>
      <c r="FY179" s="33"/>
      <c r="FZ179" s="33"/>
      <c r="GA179" s="33"/>
    </row>
    <row r="180" ht="15.75" customHeight="1">
      <c r="A180" s="20" t="s">
        <v>424</v>
      </c>
      <c r="B180" s="20"/>
      <c r="C180" s="22"/>
      <c r="D180" s="22"/>
      <c r="E180" s="22"/>
      <c r="F180" s="22"/>
      <c r="G180" s="22"/>
      <c r="H180" s="22"/>
      <c r="I180" s="22"/>
      <c r="J180" s="22"/>
      <c r="K180" s="23"/>
      <c r="L180" s="23"/>
      <c r="M180" s="23"/>
      <c r="N180" s="23"/>
      <c r="O180" s="22"/>
      <c r="P180" s="24"/>
      <c r="Q180" s="24" t="str">
        <f t="shared" si="1"/>
        <v>fine-grained, banded, white marble</v>
      </c>
      <c r="R180" s="20" t="s">
        <v>180</v>
      </c>
      <c r="S180" s="20" t="s">
        <v>189</v>
      </c>
      <c r="T180" s="20" t="s">
        <v>182</v>
      </c>
      <c r="U180" s="20" t="s">
        <v>181</v>
      </c>
      <c r="V180" s="22"/>
      <c r="W180" s="20" t="s">
        <v>166</v>
      </c>
      <c r="X180" s="20">
        <v>0.6</v>
      </c>
      <c r="Y180" s="20" t="s">
        <v>209</v>
      </c>
      <c r="Z180" s="20" t="s">
        <v>219</v>
      </c>
      <c r="AA180" s="33"/>
      <c r="AB180" s="33"/>
      <c r="AC180" s="33"/>
      <c r="AD180" s="33"/>
      <c r="AE180" s="88"/>
      <c r="AF180" s="33"/>
      <c r="AG180" s="33"/>
      <c r="AH180" s="33"/>
      <c r="AI180" s="33"/>
      <c r="AJ180" s="33"/>
      <c r="AK180" s="33"/>
      <c r="AL180" s="33"/>
      <c r="AM180" s="22"/>
      <c r="AN180" s="22"/>
      <c r="AO180" s="43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141"/>
      <c r="CX180" s="54"/>
      <c r="CY180" s="54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50"/>
      <c r="DK180" s="63"/>
      <c r="DL180" s="63"/>
      <c r="DM180" s="63"/>
      <c r="DN180" s="63"/>
      <c r="DO180" s="63"/>
      <c r="DP180" s="63"/>
      <c r="DQ180" s="63"/>
      <c r="DR180" s="63"/>
      <c r="DS180" s="63"/>
      <c r="DT180" s="63"/>
      <c r="DU180" s="63"/>
      <c r="DV180" s="63"/>
      <c r="DW180" s="63"/>
      <c r="DX180" s="63"/>
      <c r="DY180" s="63"/>
      <c r="DZ180" s="63"/>
      <c r="EA180" s="63"/>
      <c r="EB180" s="63"/>
      <c r="EC180" s="63"/>
      <c r="ED180" s="63"/>
      <c r="EE180" s="63"/>
      <c r="EF180" s="63"/>
      <c r="EG180" s="63"/>
      <c r="EH180" s="63"/>
      <c r="EI180" s="63"/>
      <c r="EJ180" s="63"/>
      <c r="EK180" s="63"/>
      <c r="EL180" s="63"/>
      <c r="EM180" s="63"/>
      <c r="EN180" s="63"/>
      <c r="EO180" s="63"/>
      <c r="EP180" s="63"/>
      <c r="EQ180" s="63"/>
      <c r="ER180" s="63"/>
      <c r="ES180" s="63"/>
      <c r="ET180" s="63"/>
      <c r="EU180" s="63"/>
      <c r="EV180" s="63"/>
      <c r="EW180" s="63"/>
      <c r="EX180" s="63"/>
      <c r="EY180" s="63"/>
      <c r="EZ180" s="40"/>
      <c r="FA180" s="33"/>
      <c r="FB180" s="33"/>
      <c r="FC180" s="33"/>
      <c r="FD180" s="33"/>
      <c r="FE180" s="33"/>
      <c r="FF180" s="33"/>
      <c r="FG180" s="33"/>
      <c r="FH180" s="33"/>
      <c r="FI180" s="33"/>
      <c r="FJ180" s="33"/>
      <c r="FK180" s="33"/>
      <c r="FL180" s="33"/>
      <c r="FM180" s="33"/>
      <c r="FN180" s="33"/>
      <c r="FO180" s="33"/>
      <c r="FP180" s="33"/>
      <c r="FQ180" s="33"/>
      <c r="FR180" s="33"/>
      <c r="FS180" s="33"/>
      <c r="FT180" s="33"/>
      <c r="FU180" s="33"/>
      <c r="FV180" s="33"/>
      <c r="FW180" s="33"/>
      <c r="FX180" s="33"/>
      <c r="FY180" s="33"/>
      <c r="FZ180" s="33"/>
      <c r="GA180" s="33"/>
    </row>
    <row r="181" ht="15.75" customHeight="1">
      <c r="A181" s="20" t="s">
        <v>425</v>
      </c>
      <c r="B181" s="20"/>
      <c r="C181" s="22"/>
      <c r="D181" s="22"/>
      <c r="E181" s="22"/>
      <c r="F181" s="22"/>
      <c r="G181" s="22"/>
      <c r="H181" s="22"/>
      <c r="I181" s="22"/>
      <c r="J181" s="22"/>
      <c r="K181" s="23"/>
      <c r="L181" s="23"/>
      <c r="M181" s="23"/>
      <c r="N181" s="23"/>
      <c r="O181" s="22"/>
      <c r="P181" s="24"/>
      <c r="Q181" s="24" t="str">
        <f t="shared" si="1"/>
        <v>-grained, , grey marble</v>
      </c>
      <c r="R181" s="22"/>
      <c r="S181" s="20" t="s">
        <v>181</v>
      </c>
      <c r="T181" s="22"/>
      <c r="U181" s="22"/>
      <c r="V181" s="22"/>
      <c r="W181" s="20" t="s">
        <v>166</v>
      </c>
      <c r="X181" s="20" t="s">
        <v>219</v>
      </c>
      <c r="Y181" s="20" t="s">
        <v>219</v>
      </c>
      <c r="Z181" s="20" t="s">
        <v>219</v>
      </c>
      <c r="AA181" s="33"/>
      <c r="AB181" s="33"/>
      <c r="AC181" s="33"/>
      <c r="AD181" s="33"/>
      <c r="AE181" s="88"/>
      <c r="AF181" s="33"/>
      <c r="AG181" s="33"/>
      <c r="AH181" s="33"/>
      <c r="AI181" s="33"/>
      <c r="AJ181" s="33"/>
      <c r="AK181" s="33"/>
      <c r="AL181" s="33"/>
      <c r="AM181" s="22"/>
      <c r="AN181" s="22"/>
      <c r="AO181" s="43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141"/>
      <c r="CX181" s="54"/>
      <c r="CY181" s="54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50"/>
      <c r="DK181" s="63"/>
      <c r="DL181" s="63"/>
      <c r="DM181" s="63"/>
      <c r="DN181" s="63"/>
      <c r="DO181" s="63"/>
      <c r="DP181" s="63"/>
      <c r="DQ181" s="63"/>
      <c r="DR181" s="63"/>
      <c r="DS181" s="63"/>
      <c r="DT181" s="63"/>
      <c r="DU181" s="63"/>
      <c r="DV181" s="63"/>
      <c r="DW181" s="63"/>
      <c r="DX181" s="63"/>
      <c r="DY181" s="63"/>
      <c r="DZ181" s="63"/>
      <c r="EA181" s="63"/>
      <c r="EB181" s="63"/>
      <c r="EC181" s="63"/>
      <c r="ED181" s="63"/>
      <c r="EE181" s="63"/>
      <c r="EF181" s="63"/>
      <c r="EG181" s="63"/>
      <c r="EH181" s="63"/>
      <c r="EI181" s="63"/>
      <c r="EJ181" s="63"/>
      <c r="EK181" s="63"/>
      <c r="EL181" s="63"/>
      <c r="EM181" s="63"/>
      <c r="EN181" s="63"/>
      <c r="EO181" s="63"/>
      <c r="EP181" s="63"/>
      <c r="EQ181" s="63"/>
      <c r="ER181" s="63"/>
      <c r="ES181" s="63"/>
      <c r="ET181" s="63"/>
      <c r="EU181" s="63"/>
      <c r="EV181" s="63"/>
      <c r="EW181" s="63"/>
      <c r="EX181" s="63"/>
      <c r="EY181" s="63"/>
      <c r="EZ181" s="40"/>
      <c r="FA181" s="33"/>
      <c r="FB181" s="33"/>
      <c r="FC181" s="33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3"/>
      <c r="FP181" s="33"/>
      <c r="FQ181" s="33"/>
      <c r="FR181" s="33"/>
      <c r="FS181" s="33"/>
      <c r="FT181" s="33"/>
      <c r="FU181" s="33"/>
      <c r="FV181" s="33"/>
      <c r="FW181" s="33"/>
      <c r="FX181" s="33"/>
      <c r="FY181" s="33"/>
      <c r="FZ181" s="33"/>
      <c r="GA181" s="33"/>
    </row>
    <row r="182" ht="15.75" customHeight="1">
      <c r="A182" s="20" t="s">
        <v>426</v>
      </c>
      <c r="B182" s="20"/>
      <c r="C182" s="22"/>
      <c r="D182" s="22"/>
      <c r="E182" s="22"/>
      <c r="F182" s="22"/>
      <c r="G182" s="22"/>
      <c r="H182" s="22"/>
      <c r="I182" s="22"/>
      <c r="J182" s="22"/>
      <c r="K182" s="23"/>
      <c r="L182" s="23"/>
      <c r="M182" s="23"/>
      <c r="N182" s="23"/>
      <c r="O182" s="22"/>
      <c r="P182" s="24"/>
      <c r="Q182" s="24" t="str">
        <f t="shared" si="1"/>
        <v>very fine-grained, veined, grey, cipollino marble</v>
      </c>
      <c r="R182" s="20" t="s">
        <v>188</v>
      </c>
      <c r="S182" s="20" t="s">
        <v>427</v>
      </c>
      <c r="T182" s="20" t="s">
        <v>206</v>
      </c>
      <c r="U182" s="20" t="s">
        <v>428</v>
      </c>
      <c r="V182" s="22"/>
      <c r="W182" s="20" t="s">
        <v>166</v>
      </c>
      <c r="X182" s="20">
        <v>0.4</v>
      </c>
      <c r="Y182" s="22"/>
      <c r="Z182" s="22"/>
      <c r="AA182" s="33"/>
      <c r="AB182" s="33"/>
      <c r="AC182" s="33"/>
      <c r="AD182" s="33"/>
      <c r="AE182" s="88"/>
      <c r="AF182" s="33"/>
      <c r="AG182" s="33"/>
      <c r="AH182" s="33"/>
      <c r="AI182" s="33"/>
      <c r="AJ182" s="33"/>
      <c r="AK182" s="33"/>
      <c r="AL182" s="33"/>
      <c r="AM182" s="22"/>
      <c r="AN182" s="22"/>
      <c r="AO182" s="43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141"/>
      <c r="CX182" s="54"/>
      <c r="CY182" s="54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50"/>
      <c r="DK182" s="63"/>
      <c r="DL182" s="63"/>
      <c r="DM182" s="63"/>
      <c r="DN182" s="63"/>
      <c r="DO182" s="63"/>
      <c r="DP182" s="63"/>
      <c r="DQ182" s="63"/>
      <c r="DR182" s="63"/>
      <c r="DS182" s="63"/>
      <c r="DT182" s="63"/>
      <c r="DU182" s="63"/>
      <c r="DV182" s="63"/>
      <c r="DW182" s="63"/>
      <c r="DX182" s="63"/>
      <c r="DY182" s="63"/>
      <c r="DZ182" s="63"/>
      <c r="EA182" s="63"/>
      <c r="EB182" s="63"/>
      <c r="EC182" s="63"/>
      <c r="ED182" s="63"/>
      <c r="EE182" s="63"/>
      <c r="EF182" s="63"/>
      <c r="EG182" s="63"/>
      <c r="EH182" s="63"/>
      <c r="EI182" s="63"/>
      <c r="EJ182" s="63"/>
      <c r="EK182" s="63"/>
      <c r="EL182" s="63"/>
      <c r="EM182" s="63"/>
      <c r="EN182" s="63"/>
      <c r="EO182" s="63"/>
      <c r="EP182" s="63"/>
      <c r="EQ182" s="63"/>
      <c r="ER182" s="63"/>
      <c r="ES182" s="63"/>
      <c r="ET182" s="63"/>
      <c r="EU182" s="63"/>
      <c r="EV182" s="63"/>
      <c r="EW182" s="63"/>
      <c r="EX182" s="63"/>
      <c r="EY182" s="63"/>
      <c r="EZ182" s="40"/>
      <c r="FA182" s="33"/>
      <c r="FB182" s="33"/>
      <c r="FC182" s="33"/>
      <c r="FD182" s="33"/>
      <c r="FE182" s="33"/>
      <c r="FF182" s="33"/>
      <c r="FG182" s="33"/>
      <c r="FH182" s="33"/>
      <c r="FI182" s="33"/>
      <c r="FJ182" s="33"/>
      <c r="FK182" s="33"/>
      <c r="FL182" s="33"/>
      <c r="FM182" s="33"/>
      <c r="FN182" s="33"/>
      <c r="FO182" s="33"/>
      <c r="FP182" s="33"/>
      <c r="FQ182" s="33"/>
      <c r="FR182" s="33"/>
      <c r="FS182" s="33"/>
      <c r="FT182" s="33"/>
      <c r="FU182" s="33"/>
      <c r="FV182" s="33"/>
      <c r="FW182" s="33"/>
      <c r="FX182" s="33"/>
      <c r="FY182" s="33"/>
      <c r="FZ182" s="33"/>
      <c r="GA182" s="33"/>
    </row>
    <row r="183" ht="15.75" customHeight="1">
      <c r="A183" s="20" t="s">
        <v>429</v>
      </c>
      <c r="B183" s="20"/>
      <c r="C183" s="22"/>
      <c r="D183" s="22"/>
      <c r="E183" s="22"/>
      <c r="F183" s="22"/>
      <c r="G183" s="22"/>
      <c r="H183" s="22"/>
      <c r="I183" s="22"/>
      <c r="J183" s="22"/>
      <c r="K183" s="23"/>
      <c r="L183" s="23"/>
      <c r="M183" s="23"/>
      <c r="N183" s="23"/>
      <c r="O183" s="22"/>
      <c r="P183" s="24"/>
      <c r="Q183" s="24" t="str">
        <f t="shared" si="1"/>
        <v>-grained, homogeneous, white marble</v>
      </c>
      <c r="R183" s="22"/>
      <c r="S183" s="20" t="s">
        <v>189</v>
      </c>
      <c r="T183" s="20" t="s">
        <v>194</v>
      </c>
      <c r="U183" s="20" t="s">
        <v>195</v>
      </c>
      <c r="V183" s="22"/>
      <c r="W183" s="20" t="s">
        <v>190</v>
      </c>
      <c r="X183" s="22"/>
      <c r="Y183" s="22"/>
      <c r="Z183" s="22"/>
      <c r="AA183" s="33"/>
      <c r="AB183" s="33"/>
      <c r="AC183" s="33"/>
      <c r="AD183" s="33"/>
      <c r="AE183" s="88"/>
      <c r="AF183" s="33"/>
      <c r="AG183" s="33"/>
      <c r="AH183" s="33"/>
      <c r="AI183" s="33"/>
      <c r="AJ183" s="33"/>
      <c r="AK183" s="33"/>
      <c r="AL183" s="33"/>
      <c r="AM183" s="22"/>
      <c r="AN183" s="22"/>
      <c r="AO183" s="43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141"/>
      <c r="CX183" s="54"/>
      <c r="CY183" s="54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50"/>
      <c r="DK183" s="63"/>
      <c r="DL183" s="63"/>
      <c r="DM183" s="63"/>
      <c r="DN183" s="63"/>
      <c r="DO183" s="63"/>
      <c r="DP183" s="63"/>
      <c r="DQ183" s="63"/>
      <c r="DR183" s="63"/>
      <c r="DS183" s="63"/>
      <c r="DT183" s="63"/>
      <c r="DU183" s="63"/>
      <c r="DV183" s="63"/>
      <c r="DW183" s="63"/>
      <c r="DX183" s="63"/>
      <c r="DY183" s="63"/>
      <c r="DZ183" s="63"/>
      <c r="EA183" s="63"/>
      <c r="EB183" s="63"/>
      <c r="EC183" s="63"/>
      <c r="ED183" s="63"/>
      <c r="EE183" s="63"/>
      <c r="EF183" s="63"/>
      <c r="EG183" s="63"/>
      <c r="EH183" s="63"/>
      <c r="EI183" s="63"/>
      <c r="EJ183" s="63"/>
      <c r="EK183" s="63"/>
      <c r="EL183" s="63"/>
      <c r="EM183" s="63"/>
      <c r="EN183" s="63"/>
      <c r="EO183" s="63"/>
      <c r="EP183" s="63"/>
      <c r="EQ183" s="63"/>
      <c r="ER183" s="63"/>
      <c r="ES183" s="63"/>
      <c r="ET183" s="63"/>
      <c r="EU183" s="63"/>
      <c r="EV183" s="63"/>
      <c r="EW183" s="63"/>
      <c r="EX183" s="63"/>
      <c r="EY183" s="63"/>
      <c r="EZ183" s="40"/>
      <c r="FA183" s="33"/>
      <c r="FB183" s="33"/>
      <c r="FC183" s="33"/>
      <c r="FD183" s="33"/>
      <c r="FE183" s="33"/>
      <c r="FF183" s="33"/>
      <c r="FG183" s="33"/>
      <c r="FH183" s="33"/>
      <c r="FI183" s="33"/>
      <c r="FJ183" s="33"/>
      <c r="FK183" s="33"/>
      <c r="FL183" s="33"/>
      <c r="FM183" s="33"/>
      <c r="FN183" s="33"/>
      <c r="FO183" s="33"/>
      <c r="FP183" s="33"/>
      <c r="FQ183" s="33"/>
      <c r="FR183" s="33"/>
      <c r="FS183" s="33"/>
      <c r="FT183" s="33"/>
      <c r="FU183" s="33"/>
      <c r="FV183" s="33"/>
      <c r="FW183" s="33"/>
      <c r="FX183" s="33"/>
      <c r="FY183" s="33"/>
      <c r="FZ183" s="33"/>
      <c r="GA183" s="33"/>
    </row>
    <row r="184" ht="15.75" customHeight="1">
      <c r="A184" s="20" t="s">
        <v>430</v>
      </c>
      <c r="B184" s="20"/>
      <c r="C184" s="22"/>
      <c r="D184" s="22"/>
      <c r="E184" s="22"/>
      <c r="F184" s="22"/>
      <c r="G184" s="22"/>
      <c r="H184" s="22"/>
      <c r="I184" s="22"/>
      <c r="J184" s="22"/>
      <c r="K184" s="23"/>
      <c r="L184" s="23"/>
      <c r="M184" s="23"/>
      <c r="N184" s="23"/>
      <c r="O184" s="22"/>
      <c r="P184" s="24"/>
      <c r="Q184" s="24" t="str">
        <f t="shared" si="1"/>
        <v>fine-grained, homogeneous, white marble</v>
      </c>
      <c r="R184" s="20" t="s">
        <v>180</v>
      </c>
      <c r="S184" s="20" t="s">
        <v>189</v>
      </c>
      <c r="T184" s="20" t="s">
        <v>194</v>
      </c>
      <c r="U184" s="20" t="s">
        <v>195</v>
      </c>
      <c r="V184" s="22"/>
      <c r="W184" s="20" t="s">
        <v>166</v>
      </c>
      <c r="X184" s="20">
        <v>1.1</v>
      </c>
      <c r="Y184" s="20" t="s">
        <v>191</v>
      </c>
      <c r="Z184" s="20" t="s">
        <v>184</v>
      </c>
      <c r="AA184" s="33"/>
      <c r="AB184" s="33"/>
      <c r="AC184" s="33"/>
      <c r="AD184" s="33"/>
      <c r="AE184" s="88"/>
      <c r="AF184" s="33"/>
      <c r="AG184" s="33"/>
      <c r="AH184" s="33"/>
      <c r="AI184" s="33"/>
      <c r="AJ184" s="33"/>
      <c r="AK184" s="33"/>
      <c r="AL184" s="33"/>
      <c r="AM184" s="22"/>
      <c r="AN184" s="22"/>
      <c r="AO184" s="43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141"/>
      <c r="CX184" s="142"/>
      <c r="CY184" s="142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  <c r="EE184" s="33"/>
      <c r="EF184" s="33"/>
      <c r="EG184" s="33"/>
      <c r="EH184" s="3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  <c r="ET184" s="33"/>
      <c r="EU184" s="33"/>
      <c r="EV184" s="33"/>
      <c r="EW184" s="33"/>
      <c r="EX184" s="33"/>
      <c r="EY184" s="33"/>
      <c r="EZ184" s="33"/>
      <c r="FA184" s="33"/>
      <c r="FB184" s="33"/>
      <c r="FC184" s="33"/>
      <c r="FD184" s="33"/>
      <c r="FE184" s="33"/>
      <c r="FF184" s="33"/>
      <c r="FG184" s="33"/>
      <c r="FH184" s="33"/>
      <c r="FI184" s="33"/>
      <c r="FJ184" s="33"/>
      <c r="FK184" s="33"/>
      <c r="FL184" s="33"/>
      <c r="FM184" s="33"/>
      <c r="FN184" s="33"/>
      <c r="FO184" s="33"/>
      <c r="FP184" s="33"/>
      <c r="FQ184" s="33"/>
      <c r="FR184" s="33"/>
      <c r="FS184" s="33"/>
      <c r="FT184" s="33"/>
      <c r="FU184" s="33"/>
      <c r="FV184" s="33"/>
      <c r="FW184" s="33"/>
      <c r="FX184" s="33"/>
      <c r="FY184" s="33"/>
      <c r="FZ184" s="33"/>
      <c r="GA184" s="33"/>
    </row>
    <row r="185" ht="15.75" customHeight="1">
      <c r="A185" s="20" t="s">
        <v>431</v>
      </c>
      <c r="B185" s="20"/>
      <c r="C185" s="22"/>
      <c r="D185" s="22"/>
      <c r="E185" s="22"/>
      <c r="F185" s="22"/>
      <c r="G185" s="22"/>
      <c r="H185" s="22"/>
      <c r="I185" s="22"/>
      <c r="J185" s="22"/>
      <c r="K185" s="23"/>
      <c r="L185" s="23"/>
      <c r="M185" s="62"/>
      <c r="N185" s="23"/>
      <c r="O185" s="22"/>
      <c r="P185" s="24"/>
      <c r="Q185" s="24" t="str">
        <f t="shared" si="1"/>
        <v>medium-grained, homogeneous, white marble</v>
      </c>
      <c r="R185" s="20" t="s">
        <v>205</v>
      </c>
      <c r="S185" s="20" t="s">
        <v>189</v>
      </c>
      <c r="T185" s="20" t="s">
        <v>194</v>
      </c>
      <c r="U185" s="20" t="s">
        <v>195</v>
      </c>
      <c r="V185" s="20"/>
      <c r="W185" s="20" t="s">
        <v>166</v>
      </c>
      <c r="X185" s="20">
        <v>2.2</v>
      </c>
      <c r="Y185" s="20" t="s">
        <v>191</v>
      </c>
      <c r="Z185" s="20" t="s">
        <v>198</v>
      </c>
      <c r="AA185" s="33"/>
      <c r="AB185" s="50"/>
      <c r="AC185" s="50"/>
      <c r="AD185" s="50"/>
      <c r="AE185" s="36"/>
      <c r="AF185" s="33"/>
      <c r="AG185" s="50"/>
      <c r="AH185" s="33"/>
      <c r="AI185" s="33"/>
      <c r="AJ185" s="33"/>
      <c r="AK185" s="33"/>
      <c r="AL185" s="50"/>
      <c r="AM185" s="22"/>
      <c r="AN185" s="22"/>
      <c r="AO185" s="43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140"/>
      <c r="CX185" s="38"/>
      <c r="CY185" s="38"/>
      <c r="CZ185" s="50"/>
      <c r="DA185" s="33"/>
      <c r="DB185" s="33"/>
      <c r="DC185" s="33"/>
      <c r="DD185" s="33"/>
      <c r="DE185" s="33"/>
      <c r="DF185" s="33"/>
      <c r="DG185" s="33"/>
      <c r="DH185" s="33"/>
      <c r="DI185" s="33"/>
      <c r="DJ185" s="50"/>
      <c r="DK185" s="63"/>
      <c r="DL185" s="63"/>
      <c r="DM185" s="63"/>
      <c r="DN185" s="63"/>
      <c r="DO185" s="63"/>
      <c r="DP185" s="63"/>
      <c r="DQ185" s="63"/>
      <c r="DR185" s="63"/>
      <c r="DS185" s="63"/>
      <c r="DT185" s="63"/>
      <c r="DU185" s="63"/>
      <c r="DV185" s="63"/>
      <c r="DW185" s="63"/>
      <c r="DX185" s="63"/>
      <c r="DY185" s="63"/>
      <c r="DZ185" s="63"/>
      <c r="EA185" s="63"/>
      <c r="EB185" s="63"/>
      <c r="EC185" s="63"/>
      <c r="ED185" s="63"/>
      <c r="EE185" s="63"/>
      <c r="EF185" s="63"/>
      <c r="EG185" s="63"/>
      <c r="EH185" s="63"/>
      <c r="EI185" s="63"/>
      <c r="EJ185" s="63"/>
      <c r="EK185" s="63"/>
      <c r="EL185" s="63"/>
      <c r="EM185" s="63"/>
      <c r="EN185" s="63"/>
      <c r="EO185" s="63"/>
      <c r="EP185" s="63"/>
      <c r="EQ185" s="63"/>
      <c r="ER185" s="63"/>
      <c r="ES185" s="63"/>
      <c r="ET185" s="63"/>
      <c r="EU185" s="63"/>
      <c r="EV185" s="63"/>
      <c r="EW185" s="63"/>
      <c r="EX185" s="63"/>
      <c r="EY185" s="63"/>
      <c r="EZ185" s="40"/>
      <c r="FA185" s="33"/>
      <c r="FB185" s="33"/>
      <c r="FC185" s="33"/>
      <c r="FD185" s="33"/>
      <c r="FE185" s="33"/>
      <c r="FF185" s="33"/>
      <c r="FG185" s="33"/>
      <c r="FH185" s="33"/>
      <c r="FI185" s="33"/>
      <c r="FJ185" s="33"/>
      <c r="FK185" s="33"/>
      <c r="FL185" s="33"/>
      <c r="FM185" s="33"/>
      <c r="FN185" s="33"/>
      <c r="FO185" s="33"/>
      <c r="FP185" s="33"/>
      <c r="FQ185" s="33"/>
      <c r="FR185" s="33"/>
      <c r="FS185" s="33"/>
      <c r="FT185" s="33"/>
      <c r="FU185" s="33"/>
      <c r="FV185" s="33"/>
      <c r="FW185" s="33"/>
      <c r="FX185" s="33"/>
      <c r="FY185" s="33"/>
      <c r="FZ185" s="33"/>
      <c r="GA185" s="33"/>
    </row>
    <row r="186" ht="15.75" customHeight="1">
      <c r="A186" s="20" t="s">
        <v>432</v>
      </c>
      <c r="B186" s="20"/>
      <c r="C186" s="22"/>
      <c r="D186" s="22"/>
      <c r="E186" s="22"/>
      <c r="F186" s="22"/>
      <c r="G186" s="22"/>
      <c r="H186" s="22"/>
      <c r="I186" s="22"/>
      <c r="J186" s="22"/>
      <c r="K186" s="23"/>
      <c r="L186" s="23"/>
      <c r="M186" s="62"/>
      <c r="N186" s="23"/>
      <c r="O186" s="22"/>
      <c r="P186" s="24"/>
      <c r="Q186" s="24" t="str">
        <f t="shared" si="1"/>
        <v>medium-grained, homogeneous, white marble</v>
      </c>
      <c r="R186" s="20" t="s">
        <v>205</v>
      </c>
      <c r="S186" s="20" t="s">
        <v>189</v>
      </c>
      <c r="T186" s="20" t="s">
        <v>194</v>
      </c>
      <c r="U186" s="20" t="s">
        <v>195</v>
      </c>
      <c r="V186" s="20"/>
      <c r="W186" s="20" t="s">
        <v>166</v>
      </c>
      <c r="X186" s="20">
        <v>2.1</v>
      </c>
      <c r="Y186" s="20" t="s">
        <v>191</v>
      </c>
      <c r="Z186" s="20" t="s">
        <v>198</v>
      </c>
      <c r="AA186" s="33"/>
      <c r="AB186" s="50"/>
      <c r="AC186" s="50"/>
      <c r="AD186" s="50"/>
      <c r="AE186" s="36"/>
      <c r="AF186" s="33"/>
      <c r="AG186" s="50"/>
      <c r="AH186" s="33"/>
      <c r="AI186" s="33"/>
      <c r="AJ186" s="33"/>
      <c r="AK186" s="33"/>
      <c r="AL186" s="50"/>
      <c r="AM186" s="22"/>
      <c r="AN186" s="22"/>
      <c r="AO186" s="43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33"/>
      <c r="CF186" s="33"/>
      <c r="CG186" s="33"/>
      <c r="CH186" s="33"/>
      <c r="CI186" s="33"/>
      <c r="CJ186" s="33"/>
      <c r="CK186" s="33"/>
      <c r="CL186" s="33"/>
      <c r="CM186" s="33"/>
      <c r="CN186" s="33"/>
      <c r="CO186" s="33"/>
      <c r="CP186" s="33"/>
      <c r="CQ186" s="33"/>
      <c r="CR186" s="33"/>
      <c r="CS186" s="33"/>
      <c r="CT186" s="33"/>
      <c r="CU186" s="33"/>
      <c r="CV186" s="33"/>
      <c r="CW186" s="140"/>
      <c r="CX186" s="38"/>
      <c r="CY186" s="38"/>
      <c r="CZ186" s="50"/>
      <c r="DA186" s="33"/>
      <c r="DB186" s="33"/>
      <c r="DC186" s="33"/>
      <c r="DD186" s="33"/>
      <c r="DE186" s="33"/>
      <c r="DF186" s="33"/>
      <c r="DG186" s="33"/>
      <c r="DH186" s="33"/>
      <c r="DI186" s="33"/>
      <c r="DJ186" s="50"/>
      <c r="DK186" s="63"/>
      <c r="DL186" s="63"/>
      <c r="DM186" s="63"/>
      <c r="DN186" s="63"/>
      <c r="DO186" s="63"/>
      <c r="DP186" s="63"/>
      <c r="DQ186" s="63"/>
      <c r="DR186" s="63"/>
      <c r="DS186" s="63"/>
      <c r="DT186" s="63"/>
      <c r="DU186" s="63"/>
      <c r="DV186" s="63"/>
      <c r="DW186" s="63"/>
      <c r="DX186" s="63"/>
      <c r="DY186" s="63"/>
      <c r="DZ186" s="63"/>
      <c r="EA186" s="63"/>
      <c r="EB186" s="63"/>
      <c r="EC186" s="63"/>
      <c r="ED186" s="63"/>
      <c r="EE186" s="63"/>
      <c r="EF186" s="63"/>
      <c r="EG186" s="63"/>
      <c r="EH186" s="63"/>
      <c r="EI186" s="63"/>
      <c r="EJ186" s="63"/>
      <c r="EK186" s="63"/>
      <c r="EL186" s="63"/>
      <c r="EM186" s="63"/>
      <c r="EN186" s="63"/>
      <c r="EO186" s="63"/>
      <c r="EP186" s="63"/>
      <c r="EQ186" s="63"/>
      <c r="ER186" s="63"/>
      <c r="ES186" s="63"/>
      <c r="ET186" s="63"/>
      <c r="EU186" s="63"/>
      <c r="EV186" s="63"/>
      <c r="EW186" s="63"/>
      <c r="EX186" s="63"/>
      <c r="EY186" s="63"/>
      <c r="EZ186" s="40"/>
      <c r="FA186" s="33"/>
      <c r="FB186" s="33"/>
      <c r="FC186" s="33"/>
      <c r="FD186" s="33"/>
      <c r="FE186" s="33"/>
      <c r="FF186" s="33"/>
      <c r="FG186" s="33"/>
      <c r="FH186" s="33"/>
      <c r="FI186" s="33"/>
      <c r="FJ186" s="33"/>
      <c r="FK186" s="33"/>
      <c r="FL186" s="33"/>
      <c r="FM186" s="33"/>
      <c r="FN186" s="33"/>
      <c r="FO186" s="33"/>
      <c r="FP186" s="33"/>
      <c r="FQ186" s="33"/>
      <c r="FR186" s="33"/>
      <c r="FS186" s="33"/>
      <c r="FT186" s="33"/>
      <c r="FU186" s="33"/>
      <c r="FV186" s="33"/>
      <c r="FW186" s="33"/>
      <c r="FX186" s="33"/>
      <c r="FY186" s="33"/>
      <c r="FZ186" s="33"/>
      <c r="GA186" s="33"/>
    </row>
    <row r="187" ht="15.75" customHeight="1">
      <c r="A187" s="20" t="s">
        <v>433</v>
      </c>
      <c r="B187" s="20"/>
      <c r="C187" s="22"/>
      <c r="D187" s="22"/>
      <c r="E187" s="22"/>
      <c r="F187" s="22"/>
      <c r="G187" s="22"/>
      <c r="H187" s="22"/>
      <c r="I187" s="22"/>
      <c r="J187" s="22"/>
      <c r="K187" s="23"/>
      <c r="L187" s="23"/>
      <c r="M187" s="62"/>
      <c r="N187" s="23"/>
      <c r="O187" s="22"/>
      <c r="P187" s="24"/>
      <c r="Q187" s="24" t="str">
        <f t="shared" si="1"/>
        <v>fine-grained, homogeneous, altered marble</v>
      </c>
      <c r="R187" s="20" t="s">
        <v>180</v>
      </c>
      <c r="S187" s="20" t="s">
        <v>434</v>
      </c>
      <c r="T187" s="20" t="s">
        <v>194</v>
      </c>
      <c r="U187" s="20" t="s">
        <v>195</v>
      </c>
      <c r="V187" s="20"/>
      <c r="W187" s="20" t="s">
        <v>190</v>
      </c>
      <c r="X187" s="20"/>
      <c r="Y187" s="20"/>
      <c r="Z187" s="20"/>
      <c r="AA187" s="33"/>
      <c r="AB187" s="50"/>
      <c r="AC187" s="50"/>
      <c r="AD187" s="50"/>
      <c r="AE187" s="36"/>
      <c r="AF187" s="33"/>
      <c r="AG187" s="50"/>
      <c r="AH187" s="33"/>
      <c r="AI187" s="33"/>
      <c r="AJ187" s="33"/>
      <c r="AK187" s="33"/>
      <c r="AL187" s="50"/>
      <c r="AM187" s="22"/>
      <c r="AN187" s="22"/>
      <c r="AO187" s="43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140"/>
      <c r="CX187" s="38"/>
      <c r="CY187" s="38"/>
      <c r="CZ187" s="50"/>
      <c r="DA187" s="33"/>
      <c r="DB187" s="33"/>
      <c r="DC187" s="33"/>
      <c r="DD187" s="33"/>
      <c r="DE187" s="33"/>
      <c r="DF187" s="33"/>
      <c r="DG187" s="33"/>
      <c r="DH187" s="33"/>
      <c r="DI187" s="33"/>
      <c r="DJ187" s="50"/>
      <c r="DK187" s="63"/>
      <c r="DL187" s="63"/>
      <c r="DM187" s="63"/>
      <c r="DN187" s="63"/>
      <c r="DO187" s="63"/>
      <c r="DP187" s="63"/>
      <c r="DQ187" s="63"/>
      <c r="DR187" s="63"/>
      <c r="DS187" s="63"/>
      <c r="DT187" s="63"/>
      <c r="DU187" s="63"/>
      <c r="DV187" s="63"/>
      <c r="DW187" s="63"/>
      <c r="DX187" s="63"/>
      <c r="DY187" s="63"/>
      <c r="DZ187" s="63"/>
      <c r="EA187" s="63"/>
      <c r="EB187" s="63"/>
      <c r="EC187" s="63"/>
      <c r="ED187" s="63"/>
      <c r="EE187" s="63"/>
      <c r="EF187" s="63"/>
      <c r="EG187" s="63"/>
      <c r="EH187" s="63"/>
      <c r="EI187" s="63"/>
      <c r="EJ187" s="63"/>
      <c r="EK187" s="63"/>
      <c r="EL187" s="63"/>
      <c r="EM187" s="63"/>
      <c r="EN187" s="63"/>
      <c r="EO187" s="63"/>
      <c r="EP187" s="63"/>
      <c r="EQ187" s="63"/>
      <c r="ER187" s="63"/>
      <c r="ES187" s="63"/>
      <c r="ET187" s="63"/>
      <c r="EU187" s="63"/>
      <c r="EV187" s="63"/>
      <c r="EW187" s="63"/>
      <c r="EX187" s="63"/>
      <c r="EY187" s="63"/>
      <c r="EZ187" s="40"/>
      <c r="FA187" s="33"/>
      <c r="FB187" s="33"/>
      <c r="FC187" s="33"/>
      <c r="FD187" s="33"/>
      <c r="FE187" s="33"/>
      <c r="FF187" s="33"/>
      <c r="FG187" s="33"/>
      <c r="FH187" s="33"/>
      <c r="FI187" s="33"/>
      <c r="FJ187" s="33"/>
      <c r="FK187" s="33"/>
      <c r="FL187" s="33"/>
      <c r="FM187" s="33"/>
      <c r="FN187" s="33"/>
      <c r="FO187" s="33"/>
      <c r="FP187" s="33"/>
      <c r="FQ187" s="33"/>
      <c r="FR187" s="33"/>
      <c r="FS187" s="33"/>
      <c r="FT187" s="33"/>
      <c r="FU187" s="33"/>
      <c r="FV187" s="33"/>
      <c r="FW187" s="33"/>
      <c r="FX187" s="33"/>
      <c r="FY187" s="33"/>
      <c r="FZ187" s="33"/>
      <c r="GA187" s="33"/>
    </row>
    <row r="188" ht="15.75" customHeight="1">
      <c r="A188" s="20" t="s">
        <v>435</v>
      </c>
      <c r="B188" s="20"/>
      <c r="C188" s="22"/>
      <c r="D188" s="22"/>
      <c r="E188" s="22"/>
      <c r="F188" s="22"/>
      <c r="G188" s="22"/>
      <c r="H188" s="22"/>
      <c r="I188" s="22"/>
      <c r="J188" s="22"/>
      <c r="K188" s="23"/>
      <c r="L188" s="23"/>
      <c r="M188" s="62"/>
      <c r="N188" s="23"/>
      <c r="O188" s="22"/>
      <c r="P188" s="24"/>
      <c r="Q188" s="24" t="str">
        <f t="shared" si="1"/>
        <v>fine-grained, veined, grey marble</v>
      </c>
      <c r="R188" s="20" t="s">
        <v>180</v>
      </c>
      <c r="S188" s="20" t="s">
        <v>181</v>
      </c>
      <c r="T188" s="20" t="s">
        <v>206</v>
      </c>
      <c r="U188" s="20" t="s">
        <v>374</v>
      </c>
      <c r="V188" s="20"/>
      <c r="W188" s="20" t="s">
        <v>166</v>
      </c>
      <c r="X188" s="20" t="s">
        <v>219</v>
      </c>
      <c r="Y188" s="20" t="s">
        <v>219</v>
      </c>
      <c r="Z188" s="20" t="s">
        <v>219</v>
      </c>
      <c r="AA188" s="33"/>
      <c r="AB188" s="50"/>
      <c r="AC188" s="50"/>
      <c r="AD188" s="50"/>
      <c r="AE188" s="36"/>
      <c r="AF188" s="33"/>
      <c r="AG188" s="50"/>
      <c r="AH188" s="33"/>
      <c r="AI188" s="33"/>
      <c r="AJ188" s="33"/>
      <c r="AK188" s="33"/>
      <c r="AL188" s="50"/>
      <c r="AM188" s="22"/>
      <c r="AN188" s="22"/>
      <c r="AO188" s="43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140"/>
      <c r="CX188" s="38"/>
      <c r="CY188" s="38"/>
      <c r="CZ188" s="50"/>
      <c r="DA188" s="33"/>
      <c r="DB188" s="33"/>
      <c r="DC188" s="33"/>
      <c r="DD188" s="33"/>
      <c r="DE188" s="33"/>
      <c r="DF188" s="33"/>
      <c r="DG188" s="33"/>
      <c r="DH188" s="33"/>
      <c r="DI188" s="33"/>
      <c r="DJ188" s="50"/>
      <c r="DK188" s="63"/>
      <c r="DL188" s="63"/>
      <c r="DM188" s="63"/>
      <c r="DN188" s="63"/>
      <c r="DO188" s="63"/>
      <c r="DP188" s="63"/>
      <c r="DQ188" s="63"/>
      <c r="DR188" s="63"/>
      <c r="DS188" s="63"/>
      <c r="DT188" s="63"/>
      <c r="DU188" s="63"/>
      <c r="DV188" s="63"/>
      <c r="DW188" s="63"/>
      <c r="DX188" s="63"/>
      <c r="DY188" s="63"/>
      <c r="DZ188" s="63"/>
      <c r="EA188" s="63"/>
      <c r="EB188" s="63"/>
      <c r="EC188" s="63"/>
      <c r="ED188" s="63"/>
      <c r="EE188" s="63"/>
      <c r="EF188" s="63"/>
      <c r="EG188" s="63"/>
      <c r="EH188" s="63"/>
      <c r="EI188" s="63"/>
      <c r="EJ188" s="63"/>
      <c r="EK188" s="63"/>
      <c r="EL188" s="63"/>
      <c r="EM188" s="63"/>
      <c r="EN188" s="63"/>
      <c r="EO188" s="63"/>
      <c r="EP188" s="63"/>
      <c r="EQ188" s="63"/>
      <c r="ER188" s="63"/>
      <c r="ES188" s="63"/>
      <c r="ET188" s="63"/>
      <c r="EU188" s="63"/>
      <c r="EV188" s="63"/>
      <c r="EW188" s="63"/>
      <c r="EX188" s="63"/>
      <c r="EY188" s="63"/>
      <c r="EZ188" s="40"/>
      <c r="FA188" s="33"/>
      <c r="FB188" s="33"/>
      <c r="FC188" s="33"/>
      <c r="FD188" s="33"/>
      <c r="FE188" s="33"/>
      <c r="FF188" s="33"/>
      <c r="FG188" s="33"/>
      <c r="FH188" s="33"/>
      <c r="FI188" s="33"/>
      <c r="FJ188" s="33"/>
      <c r="FK188" s="33"/>
      <c r="FL188" s="33"/>
      <c r="FM188" s="33"/>
      <c r="FN188" s="33"/>
      <c r="FO188" s="33"/>
      <c r="FP188" s="33"/>
      <c r="FQ188" s="33"/>
      <c r="FR188" s="33"/>
      <c r="FS188" s="33"/>
      <c r="FT188" s="33"/>
      <c r="FU188" s="33"/>
      <c r="FV188" s="33"/>
      <c r="FW188" s="33"/>
      <c r="FX188" s="33"/>
      <c r="FY188" s="33"/>
      <c r="FZ188" s="33"/>
      <c r="GA188" s="33"/>
    </row>
    <row r="189" ht="15.75" customHeight="1">
      <c r="A189" s="20" t="s">
        <v>436</v>
      </c>
      <c r="B189" s="20"/>
      <c r="C189" s="22"/>
      <c r="D189" s="22"/>
      <c r="E189" s="22"/>
      <c r="F189" s="22"/>
      <c r="G189" s="22"/>
      <c r="H189" s="22"/>
      <c r="I189" s="22"/>
      <c r="J189" s="22"/>
      <c r="K189" s="48" t="s">
        <v>218</v>
      </c>
      <c r="L189" s="23"/>
      <c r="M189" s="23"/>
      <c r="N189" s="23"/>
      <c r="O189" s="22" t="s">
        <v>164</v>
      </c>
      <c r="P189" s="24"/>
      <c r="Q189" s="24" t="str">
        <f t="shared" si="1"/>
        <v>medium-grained, banded, white marble</v>
      </c>
      <c r="R189" s="20" t="s">
        <v>205</v>
      </c>
      <c r="S189" s="20" t="s">
        <v>189</v>
      </c>
      <c r="T189" s="20" t="s">
        <v>182</v>
      </c>
      <c r="U189" s="20" t="s">
        <v>181</v>
      </c>
      <c r="V189" s="20" t="s">
        <v>190</v>
      </c>
      <c r="W189" s="20" t="s">
        <v>166</v>
      </c>
      <c r="X189" s="20">
        <v>2.3</v>
      </c>
      <c r="Y189" s="20" t="s">
        <v>183</v>
      </c>
      <c r="Z189" s="20" t="s">
        <v>213</v>
      </c>
      <c r="AA189" s="33"/>
      <c r="AB189" s="50" t="s">
        <v>166</v>
      </c>
      <c r="AC189" s="50">
        <v>1.7</v>
      </c>
      <c r="AD189" s="50" t="s">
        <v>183</v>
      </c>
      <c r="AE189" s="36" t="s">
        <v>213</v>
      </c>
      <c r="AF189" s="33" t="s">
        <v>164</v>
      </c>
      <c r="AG189" s="50" t="s">
        <v>166</v>
      </c>
      <c r="AH189" s="33" t="s">
        <v>164</v>
      </c>
      <c r="AI189" s="33" t="s">
        <v>164</v>
      </c>
      <c r="AJ189" s="33" t="s">
        <v>164</v>
      </c>
      <c r="AK189" s="33" t="s">
        <v>164</v>
      </c>
      <c r="AL189" s="33" t="s">
        <v>164</v>
      </c>
      <c r="AM189" s="22"/>
      <c r="AN189" s="22"/>
      <c r="AO189" s="43">
        <f t="shared" ref="AO189:AO195" si="10">SUM(AP189,AQ189,AR189)</f>
        <v>0</v>
      </c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 t="s">
        <v>164</v>
      </c>
      <c r="BF189" s="22" t="s">
        <v>164</v>
      </c>
      <c r="BG189" s="22" t="s">
        <v>164</v>
      </c>
      <c r="BH189" s="22" t="s">
        <v>164</v>
      </c>
      <c r="BI189" s="22"/>
      <c r="BJ189" s="22" t="s">
        <v>164</v>
      </c>
      <c r="BK189" s="22"/>
      <c r="BL189" s="22" t="s">
        <v>164</v>
      </c>
      <c r="BM189" s="22"/>
      <c r="BN189" s="22" t="s">
        <v>164</v>
      </c>
      <c r="BO189" s="22"/>
      <c r="BP189" s="22"/>
      <c r="BQ189" s="22"/>
      <c r="BR189" s="22" t="s">
        <v>164</v>
      </c>
      <c r="BS189" s="22"/>
      <c r="BT189" s="22" t="s">
        <v>164</v>
      </c>
      <c r="BU189" s="22"/>
      <c r="BV189" s="22"/>
      <c r="BW189" s="22"/>
      <c r="BX189" s="22" t="s">
        <v>164</v>
      </c>
      <c r="BY189" s="22"/>
      <c r="BZ189" s="22" t="s">
        <v>164</v>
      </c>
      <c r="CA189" s="22"/>
      <c r="CB189" s="22" t="s">
        <v>164</v>
      </c>
      <c r="CC189" s="22"/>
      <c r="CD189" s="22" t="s">
        <v>164</v>
      </c>
      <c r="CE189" s="33" t="s">
        <v>164</v>
      </c>
      <c r="CF189" s="33" t="s">
        <v>164</v>
      </c>
      <c r="CG189" s="33" t="s">
        <v>164</v>
      </c>
      <c r="CH189" s="33" t="s">
        <v>164</v>
      </c>
      <c r="CI189" s="33" t="s">
        <v>164</v>
      </c>
      <c r="CJ189" s="33" t="s">
        <v>164</v>
      </c>
      <c r="CK189" s="33" t="s">
        <v>164</v>
      </c>
      <c r="CL189" s="33" t="s">
        <v>164</v>
      </c>
      <c r="CM189" s="33" t="s">
        <v>164</v>
      </c>
      <c r="CN189" s="33" t="s">
        <v>164</v>
      </c>
      <c r="CO189" s="33" t="s">
        <v>164</v>
      </c>
      <c r="CP189" s="33" t="s">
        <v>164</v>
      </c>
      <c r="CQ189" s="33" t="s">
        <v>164</v>
      </c>
      <c r="CR189" s="33" t="s">
        <v>164</v>
      </c>
      <c r="CS189" s="33" t="s">
        <v>164</v>
      </c>
      <c r="CT189" s="33" t="s">
        <v>164</v>
      </c>
      <c r="CU189" s="33" t="s">
        <v>164</v>
      </c>
      <c r="CV189" s="33" t="s">
        <v>164</v>
      </c>
      <c r="CW189" s="140" t="s">
        <v>166</v>
      </c>
      <c r="CX189" s="38">
        <v>2.59</v>
      </c>
      <c r="CY189" s="38">
        <v>-4.09</v>
      </c>
      <c r="CZ189" s="50" t="s">
        <v>166</v>
      </c>
      <c r="DA189" s="33" t="s">
        <v>164</v>
      </c>
      <c r="DB189" s="33" t="s">
        <v>164</v>
      </c>
      <c r="DC189" s="33" t="s">
        <v>164</v>
      </c>
      <c r="DD189" s="33" t="s">
        <v>164</v>
      </c>
      <c r="DE189" s="33" t="s">
        <v>164</v>
      </c>
      <c r="DF189" s="33" t="s">
        <v>164</v>
      </c>
      <c r="DG189" s="33" t="s">
        <v>164</v>
      </c>
      <c r="DH189" s="33" t="s">
        <v>164</v>
      </c>
      <c r="DI189" s="33" t="s">
        <v>164</v>
      </c>
      <c r="DJ189" s="106" t="s">
        <v>166</v>
      </c>
      <c r="DK189" s="52">
        <v>1.82</v>
      </c>
      <c r="DL189" s="52">
        <v>5.66</v>
      </c>
      <c r="DM189" s="52">
        <v>37.25</v>
      </c>
      <c r="DN189" s="52">
        <v>4064.14</v>
      </c>
      <c r="DO189" s="52">
        <v>0.142710874</v>
      </c>
      <c r="DP189" s="52">
        <v>18.21</v>
      </c>
      <c r="DQ189" s="52">
        <v>0.56</v>
      </c>
      <c r="DR189" s="52">
        <v>3.28</v>
      </c>
      <c r="DS189" s="52">
        <v>1.34</v>
      </c>
      <c r="DT189" s="52">
        <v>3.19</v>
      </c>
      <c r="DU189" s="52">
        <v>196.86</v>
      </c>
      <c r="DV189" s="52">
        <v>0.08</v>
      </c>
      <c r="DW189" s="52">
        <v>1.26</v>
      </c>
      <c r="DX189" s="52">
        <v>1.36</v>
      </c>
      <c r="DY189" s="52">
        <v>0.91</v>
      </c>
      <c r="DZ189" s="52">
        <v>0.06</v>
      </c>
      <c r="EA189" s="52">
        <v>0.25</v>
      </c>
      <c r="EB189" s="52">
        <v>0.51</v>
      </c>
      <c r="EC189" s="52">
        <v>331.05</v>
      </c>
      <c r="ED189" s="52">
        <v>0.84</v>
      </c>
      <c r="EE189" s="52">
        <v>0.24</v>
      </c>
      <c r="EF189" s="52">
        <v>0.01</v>
      </c>
      <c r="EG189" s="52">
        <v>0.01</v>
      </c>
      <c r="EH189" s="52">
        <v>0.17</v>
      </c>
      <c r="EI189" s="52">
        <v>0.84</v>
      </c>
      <c r="EJ189" s="52">
        <v>0.03</v>
      </c>
      <c r="EK189" s="52">
        <v>1.47</v>
      </c>
      <c r="EL189" s="52">
        <v>1.29</v>
      </c>
      <c r="EM189" s="52">
        <v>1.57</v>
      </c>
      <c r="EN189" s="52">
        <v>1.05</v>
      </c>
      <c r="EO189" s="52">
        <v>0.14</v>
      </c>
      <c r="EP189" s="52">
        <v>0.03</v>
      </c>
      <c r="EQ189" s="52">
        <v>0.11</v>
      </c>
      <c r="ER189" s="52">
        <v>0.15</v>
      </c>
      <c r="ES189" s="52">
        <v>0.08</v>
      </c>
      <c r="ET189" s="52">
        <v>0.036131101</v>
      </c>
      <c r="EU189" s="52">
        <v>0.02</v>
      </c>
      <c r="EV189" s="52">
        <v>4.52</v>
      </c>
      <c r="EW189" s="52">
        <v>3.37</v>
      </c>
      <c r="EX189" s="52">
        <v>8.4</v>
      </c>
      <c r="EY189" s="52">
        <v>0.38</v>
      </c>
      <c r="FA189" s="33"/>
      <c r="FB189" s="33"/>
      <c r="FC189" s="33"/>
      <c r="FD189" s="33"/>
      <c r="FE189" s="33"/>
      <c r="FF189" s="33"/>
      <c r="FG189" s="33"/>
      <c r="FH189" s="33"/>
      <c r="FI189" s="33"/>
      <c r="FJ189" s="33"/>
      <c r="FK189" s="33"/>
      <c r="FL189" s="33"/>
      <c r="FM189" s="33"/>
      <c r="FN189" s="33"/>
      <c r="FO189" s="33"/>
      <c r="FP189" s="33"/>
      <c r="FQ189" s="33"/>
      <c r="FR189" s="33"/>
      <c r="FS189" s="33"/>
      <c r="FT189" s="33"/>
      <c r="FU189" s="33"/>
      <c r="FV189" s="33"/>
      <c r="FW189" s="33"/>
      <c r="FX189" s="33"/>
      <c r="FY189" s="33"/>
      <c r="FZ189" s="33"/>
      <c r="GA189" s="33"/>
    </row>
    <row r="190" ht="15.75" customHeight="1">
      <c r="A190" s="20" t="s">
        <v>437</v>
      </c>
      <c r="B190" s="20"/>
      <c r="C190" s="22"/>
      <c r="D190" s="22"/>
      <c r="E190" s="22"/>
      <c r="F190" s="22"/>
      <c r="G190" s="22"/>
      <c r="H190" s="22"/>
      <c r="I190" s="22"/>
      <c r="J190" s="22"/>
      <c r="K190" s="23"/>
      <c r="L190" s="48" t="s">
        <v>258</v>
      </c>
      <c r="M190" s="23"/>
      <c r="N190" s="23"/>
      <c r="O190" s="22" t="s">
        <v>164</v>
      </c>
      <c r="P190" s="24"/>
      <c r="Q190" s="24" t="str">
        <f t="shared" si="1"/>
        <v>fine-grained, banded, grey marble</v>
      </c>
      <c r="R190" s="20" t="s">
        <v>180</v>
      </c>
      <c r="S190" s="20" t="s">
        <v>181</v>
      </c>
      <c r="T190" s="20" t="s">
        <v>182</v>
      </c>
      <c r="U190" s="20" t="s">
        <v>189</v>
      </c>
      <c r="V190" s="20" t="s">
        <v>190</v>
      </c>
      <c r="W190" s="20" t="s">
        <v>166</v>
      </c>
      <c r="X190" s="20">
        <v>3.5</v>
      </c>
      <c r="Y190" s="20" t="s">
        <v>183</v>
      </c>
      <c r="Z190" s="20" t="s">
        <v>184</v>
      </c>
      <c r="AA190" s="33"/>
      <c r="AB190" s="50" t="s">
        <v>166</v>
      </c>
      <c r="AC190" s="50">
        <v>0.9</v>
      </c>
      <c r="AD190" s="50" t="s">
        <v>191</v>
      </c>
      <c r="AE190" s="36" t="s">
        <v>213</v>
      </c>
      <c r="AF190" s="33" t="s">
        <v>164</v>
      </c>
      <c r="AG190" s="50" t="s">
        <v>166</v>
      </c>
      <c r="AH190" s="33" t="s">
        <v>164</v>
      </c>
      <c r="AI190" s="33" t="s">
        <v>164</v>
      </c>
      <c r="AJ190" s="33" t="s">
        <v>164</v>
      </c>
      <c r="AK190" s="33" t="s">
        <v>164</v>
      </c>
      <c r="AL190" s="50" t="s">
        <v>166</v>
      </c>
      <c r="AM190" s="22"/>
      <c r="AN190" s="22"/>
      <c r="AO190" s="43">
        <f t="shared" si="10"/>
        <v>0</v>
      </c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 t="s">
        <v>164</v>
      </c>
      <c r="BF190" s="22" t="s">
        <v>164</v>
      </c>
      <c r="BG190" s="22" t="s">
        <v>164</v>
      </c>
      <c r="BH190" s="22" t="s">
        <v>164</v>
      </c>
      <c r="BI190" s="22"/>
      <c r="BJ190" s="22" t="s">
        <v>164</v>
      </c>
      <c r="BK190" s="22"/>
      <c r="BL190" s="22" t="s">
        <v>164</v>
      </c>
      <c r="BM190" s="22"/>
      <c r="BN190" s="22" t="s">
        <v>164</v>
      </c>
      <c r="BO190" s="22"/>
      <c r="BP190" s="22"/>
      <c r="BQ190" s="22"/>
      <c r="BR190" s="22" t="s">
        <v>164</v>
      </c>
      <c r="BS190" s="22"/>
      <c r="BT190" s="22" t="s">
        <v>164</v>
      </c>
      <c r="BU190" s="22"/>
      <c r="BV190" s="22"/>
      <c r="BW190" s="22"/>
      <c r="BX190" s="22" t="s">
        <v>164</v>
      </c>
      <c r="BY190" s="22"/>
      <c r="BZ190" s="22" t="s">
        <v>164</v>
      </c>
      <c r="CA190" s="22"/>
      <c r="CB190" s="22" t="s">
        <v>164</v>
      </c>
      <c r="CC190" s="22"/>
      <c r="CD190" s="22" t="s">
        <v>164</v>
      </c>
      <c r="CE190" s="33" t="s">
        <v>164</v>
      </c>
      <c r="CF190" s="33" t="s">
        <v>164</v>
      </c>
      <c r="CG190" s="33" t="s">
        <v>164</v>
      </c>
      <c r="CH190" s="33" t="s">
        <v>164</v>
      </c>
      <c r="CI190" s="33" t="s">
        <v>164</v>
      </c>
      <c r="CJ190" s="33" t="s">
        <v>164</v>
      </c>
      <c r="CK190" s="33" t="s">
        <v>164</v>
      </c>
      <c r="CL190" s="33" t="s">
        <v>164</v>
      </c>
      <c r="CM190" s="33" t="s">
        <v>164</v>
      </c>
      <c r="CN190" s="33" t="s">
        <v>164</v>
      </c>
      <c r="CO190" s="33" t="s">
        <v>164</v>
      </c>
      <c r="CP190" s="33" t="s">
        <v>164</v>
      </c>
      <c r="CQ190" s="33" t="s">
        <v>164</v>
      </c>
      <c r="CR190" s="33" t="s">
        <v>164</v>
      </c>
      <c r="CS190" s="33" t="s">
        <v>164</v>
      </c>
      <c r="CT190" s="33" t="s">
        <v>164</v>
      </c>
      <c r="CU190" s="33" t="s">
        <v>164</v>
      </c>
      <c r="CV190" s="33" t="s">
        <v>164</v>
      </c>
      <c r="CW190" s="140" t="s">
        <v>166</v>
      </c>
      <c r="CX190" s="38">
        <v>2.54</v>
      </c>
      <c r="CY190" s="38">
        <v>-4.27</v>
      </c>
      <c r="CZ190" s="50" t="s">
        <v>166</v>
      </c>
      <c r="DA190" s="33" t="s">
        <v>164</v>
      </c>
      <c r="DB190" s="33" t="s">
        <v>164</v>
      </c>
      <c r="DC190" s="33" t="s">
        <v>164</v>
      </c>
      <c r="DD190" s="33" t="s">
        <v>164</v>
      </c>
      <c r="DE190" s="33" t="s">
        <v>164</v>
      </c>
      <c r="DF190" s="33" t="s">
        <v>164</v>
      </c>
      <c r="DG190" s="33" t="s">
        <v>164</v>
      </c>
      <c r="DH190" s="33" t="s">
        <v>164</v>
      </c>
      <c r="DI190" s="33" t="s">
        <v>164</v>
      </c>
      <c r="DJ190" s="106" t="s">
        <v>166</v>
      </c>
      <c r="DK190" s="52">
        <v>6.09</v>
      </c>
      <c r="DL190" s="52">
        <v>9.7</v>
      </c>
      <c r="DM190" s="52">
        <v>65.92</v>
      </c>
      <c r="DN190" s="52">
        <v>7263.62</v>
      </c>
      <c r="DO190" s="52">
        <v>0.304996751</v>
      </c>
      <c r="DP190" s="52">
        <v>22.39</v>
      </c>
      <c r="DQ190" s="52">
        <v>2.02</v>
      </c>
      <c r="DR190" s="52">
        <v>5.34</v>
      </c>
      <c r="DS190" s="52">
        <v>5.52</v>
      </c>
      <c r="DT190" s="52">
        <v>253.45</v>
      </c>
      <c r="DU190" s="52">
        <v>0.19</v>
      </c>
      <c r="DV190" s="52">
        <v>1.59</v>
      </c>
      <c r="DW190" s="52">
        <v>0.82</v>
      </c>
      <c r="DX190" s="52">
        <v>2.96</v>
      </c>
      <c r="DY190" s="52">
        <v>0.21</v>
      </c>
      <c r="DZ190" s="52">
        <v>0.43</v>
      </c>
      <c r="EA190" s="52">
        <v>2.64</v>
      </c>
      <c r="EB190" s="52">
        <v>328.15</v>
      </c>
      <c r="EC190" s="52">
        <v>1.32</v>
      </c>
      <c r="ED190" s="52">
        <v>2.22</v>
      </c>
      <c r="EE190" s="52">
        <v>0.05</v>
      </c>
      <c r="EF190" s="52">
        <v>0.02</v>
      </c>
      <c r="EG190" s="52">
        <v>0.18</v>
      </c>
      <c r="EH190" s="52">
        <v>0.21</v>
      </c>
      <c r="EI190" s="52">
        <v>0.12</v>
      </c>
      <c r="EJ190" s="52">
        <v>3.59</v>
      </c>
      <c r="EK190" s="52">
        <v>1.7</v>
      </c>
      <c r="EL190" s="52">
        <v>2.14</v>
      </c>
      <c r="EM190" s="52">
        <v>1.56</v>
      </c>
      <c r="EN190" s="52">
        <v>0.25</v>
      </c>
      <c r="EO190" s="52">
        <v>0.04</v>
      </c>
      <c r="EP190" s="52">
        <v>0.19</v>
      </c>
      <c r="EQ190" s="52">
        <v>0.25</v>
      </c>
      <c r="ER190" s="52">
        <v>0.15</v>
      </c>
      <c r="ES190" s="52">
        <v>0.12</v>
      </c>
      <c r="ET190" s="52">
        <v>0.079175323</v>
      </c>
      <c r="EU190" s="52">
        <v>24.75</v>
      </c>
      <c r="EV190" s="52">
        <v>13.91</v>
      </c>
      <c r="EW190" s="52">
        <v>22.01</v>
      </c>
      <c r="EX190" s="52">
        <v>0.21</v>
      </c>
      <c r="EY190" s="52">
        <v>0.08</v>
      </c>
      <c r="FA190" s="33"/>
      <c r="FB190" s="33"/>
      <c r="FC190" s="33"/>
      <c r="FD190" s="33"/>
      <c r="FE190" s="33"/>
      <c r="FF190" s="33"/>
      <c r="FG190" s="33"/>
      <c r="FH190" s="33"/>
      <c r="FI190" s="33"/>
      <c r="FJ190" s="33"/>
      <c r="FK190" s="33"/>
      <c r="FL190" s="33"/>
      <c r="FM190" s="33"/>
      <c r="FN190" s="33"/>
      <c r="FO190" s="33"/>
      <c r="FP190" s="33"/>
      <c r="FQ190" s="33"/>
      <c r="FR190" s="33"/>
      <c r="FS190" s="33"/>
      <c r="FT190" s="33"/>
      <c r="FU190" s="33"/>
      <c r="FV190" s="33"/>
      <c r="FW190" s="33"/>
      <c r="FX190" s="33"/>
      <c r="FY190" s="33"/>
      <c r="FZ190" s="33"/>
      <c r="GA190" s="33"/>
    </row>
    <row r="191" ht="15.75" customHeight="1">
      <c r="A191" s="20" t="s">
        <v>438</v>
      </c>
      <c r="B191" s="20"/>
      <c r="C191" s="22"/>
      <c r="D191" s="22"/>
      <c r="E191" s="22"/>
      <c r="F191" s="22"/>
      <c r="G191" s="22"/>
      <c r="H191" s="22"/>
      <c r="I191" s="22"/>
      <c r="J191" s="22"/>
      <c r="K191" s="23"/>
      <c r="L191" s="48" t="s">
        <v>297</v>
      </c>
      <c r="M191" s="23"/>
      <c r="N191" s="23"/>
      <c r="O191" s="22" t="s">
        <v>164</v>
      </c>
      <c r="P191" s="24"/>
      <c r="Q191" s="24" t="str">
        <f t="shared" si="1"/>
        <v>fine-grained, banded, white marble</v>
      </c>
      <c r="R191" s="20" t="s">
        <v>180</v>
      </c>
      <c r="S191" s="20" t="s">
        <v>189</v>
      </c>
      <c r="T191" s="20" t="s">
        <v>182</v>
      </c>
      <c r="U191" s="20" t="s">
        <v>181</v>
      </c>
      <c r="V191" s="20" t="s">
        <v>190</v>
      </c>
      <c r="W191" s="20" t="s">
        <v>166</v>
      </c>
      <c r="X191" s="20">
        <v>0.9</v>
      </c>
      <c r="Y191" s="20" t="s">
        <v>191</v>
      </c>
      <c r="Z191" s="20" t="s">
        <v>219</v>
      </c>
      <c r="AA191" s="33"/>
      <c r="AB191" s="50" t="s">
        <v>166</v>
      </c>
      <c r="AC191" s="50">
        <v>1.8</v>
      </c>
      <c r="AD191" s="50" t="s">
        <v>183</v>
      </c>
      <c r="AE191" s="36" t="s">
        <v>439</v>
      </c>
      <c r="AF191" s="33" t="s">
        <v>164</v>
      </c>
      <c r="AG191" s="50" t="s">
        <v>166</v>
      </c>
      <c r="AH191" s="33" t="s">
        <v>164</v>
      </c>
      <c r="AI191" s="33" t="s">
        <v>164</v>
      </c>
      <c r="AJ191" s="33" t="s">
        <v>164</v>
      </c>
      <c r="AK191" s="33" t="s">
        <v>164</v>
      </c>
      <c r="AL191" s="50" t="s">
        <v>166</v>
      </c>
      <c r="AM191" s="22"/>
      <c r="AN191" s="22"/>
      <c r="AO191" s="43">
        <f t="shared" si="10"/>
        <v>0</v>
      </c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 t="s">
        <v>164</v>
      </c>
      <c r="BF191" s="22" t="s">
        <v>164</v>
      </c>
      <c r="BG191" s="22" t="s">
        <v>164</v>
      </c>
      <c r="BH191" s="22" t="s">
        <v>164</v>
      </c>
      <c r="BI191" s="22"/>
      <c r="BJ191" s="22" t="s">
        <v>164</v>
      </c>
      <c r="BK191" s="22"/>
      <c r="BL191" s="22" t="s">
        <v>164</v>
      </c>
      <c r="BM191" s="22"/>
      <c r="BN191" s="22" t="s">
        <v>164</v>
      </c>
      <c r="BO191" s="22"/>
      <c r="BP191" s="22"/>
      <c r="BQ191" s="22"/>
      <c r="BR191" s="22" t="s">
        <v>164</v>
      </c>
      <c r="BS191" s="22"/>
      <c r="BT191" s="22" t="s">
        <v>164</v>
      </c>
      <c r="BU191" s="22"/>
      <c r="BV191" s="22"/>
      <c r="BW191" s="22"/>
      <c r="BX191" s="22" t="s">
        <v>164</v>
      </c>
      <c r="BY191" s="22"/>
      <c r="BZ191" s="22" t="s">
        <v>164</v>
      </c>
      <c r="CA191" s="22"/>
      <c r="CB191" s="22" t="s">
        <v>164</v>
      </c>
      <c r="CC191" s="22"/>
      <c r="CD191" s="22" t="s">
        <v>164</v>
      </c>
      <c r="CE191" s="33" t="s">
        <v>164</v>
      </c>
      <c r="CF191" s="33" t="s">
        <v>164</v>
      </c>
      <c r="CG191" s="33" t="s">
        <v>164</v>
      </c>
      <c r="CH191" s="33" t="s">
        <v>164</v>
      </c>
      <c r="CI191" s="33" t="s">
        <v>164</v>
      </c>
      <c r="CJ191" s="33" t="s">
        <v>164</v>
      </c>
      <c r="CK191" s="33" t="s">
        <v>164</v>
      </c>
      <c r="CL191" s="33" t="s">
        <v>164</v>
      </c>
      <c r="CM191" s="33" t="s">
        <v>164</v>
      </c>
      <c r="CN191" s="33" t="s">
        <v>164</v>
      </c>
      <c r="CO191" s="33" t="s">
        <v>164</v>
      </c>
      <c r="CP191" s="33" t="s">
        <v>164</v>
      </c>
      <c r="CQ191" s="33" t="s">
        <v>164</v>
      </c>
      <c r="CR191" s="33" t="s">
        <v>164</v>
      </c>
      <c r="CS191" s="33" t="s">
        <v>164</v>
      </c>
      <c r="CT191" s="33" t="s">
        <v>164</v>
      </c>
      <c r="CU191" s="33" t="s">
        <v>164</v>
      </c>
      <c r="CV191" s="33" t="s">
        <v>164</v>
      </c>
      <c r="CW191" s="140" t="s">
        <v>166</v>
      </c>
      <c r="CX191" s="38">
        <v>2.57</v>
      </c>
      <c r="CY191" s="38">
        <v>-4.94</v>
      </c>
      <c r="CZ191" s="50" t="s">
        <v>166</v>
      </c>
      <c r="DA191" s="33" t="s">
        <v>164</v>
      </c>
      <c r="DB191" s="33" t="s">
        <v>164</v>
      </c>
      <c r="DC191" s="33" t="s">
        <v>164</v>
      </c>
      <c r="DD191" s="33" t="s">
        <v>164</v>
      </c>
      <c r="DE191" s="33" t="s">
        <v>164</v>
      </c>
      <c r="DF191" s="33" t="s">
        <v>164</v>
      </c>
      <c r="DG191" s="33" t="s">
        <v>164</v>
      </c>
      <c r="DH191" s="33" t="s">
        <v>164</v>
      </c>
      <c r="DI191" s="33" t="s">
        <v>164</v>
      </c>
      <c r="DJ191" s="50" t="s">
        <v>166</v>
      </c>
      <c r="DK191" s="52">
        <v>0.21</v>
      </c>
      <c r="DL191" s="52">
        <v>2.13</v>
      </c>
      <c r="DM191" s="52">
        <v>29.61</v>
      </c>
      <c r="DN191" s="52">
        <v>1365.31</v>
      </c>
      <c r="DO191" s="52">
        <v>0.061987787</v>
      </c>
      <c r="DP191" s="52">
        <v>46.81</v>
      </c>
      <c r="DQ191" s="52">
        <v>0.35</v>
      </c>
      <c r="DR191" s="52">
        <v>2.92</v>
      </c>
      <c r="DS191" s="52">
        <v>0.66</v>
      </c>
      <c r="DT191" s="52">
        <v>4.45</v>
      </c>
      <c r="DU191" s="52">
        <v>103.06</v>
      </c>
      <c r="DV191" s="52">
        <v>0.03</v>
      </c>
      <c r="DW191" s="52">
        <v>0.37</v>
      </c>
      <c r="DX191" s="52">
        <v>0.45</v>
      </c>
      <c r="DY191" s="52">
        <v>2.19</v>
      </c>
      <c r="DZ191" s="52">
        <v>0.04</v>
      </c>
      <c r="EA191" s="52">
        <v>0.27</v>
      </c>
      <c r="EB191" s="52">
        <v>0.14</v>
      </c>
      <c r="EC191" s="52">
        <v>165.24</v>
      </c>
      <c r="ED191" s="52">
        <v>0.39</v>
      </c>
      <c r="EE191" s="52">
        <v>0.13</v>
      </c>
      <c r="EF191" s="52">
        <v>0.12</v>
      </c>
      <c r="EG191" s="52">
        <v>0.0</v>
      </c>
      <c r="EH191" s="52">
        <v>0.13</v>
      </c>
      <c r="EI191" s="52">
        <v>0.58</v>
      </c>
      <c r="EJ191" s="52">
        <v>0.03</v>
      </c>
      <c r="EK191" s="52">
        <v>2.0</v>
      </c>
      <c r="EL191" s="52">
        <v>0.57</v>
      </c>
      <c r="EM191" s="52">
        <v>0.63</v>
      </c>
      <c r="EN191" s="52">
        <v>0.39</v>
      </c>
      <c r="EO191" s="52">
        <v>0.05</v>
      </c>
      <c r="EP191" s="52">
        <v>0.01</v>
      </c>
      <c r="EQ191" s="52">
        <v>0.03</v>
      </c>
      <c r="ER191" s="52">
        <v>0.06</v>
      </c>
      <c r="ES191" s="52">
        <v>0.04</v>
      </c>
      <c r="ET191" s="52">
        <v>0.016170243</v>
      </c>
      <c r="EU191" s="52">
        <v>0.01</v>
      </c>
      <c r="EV191" s="52">
        <v>15.09</v>
      </c>
      <c r="EW191" s="52">
        <v>12.67</v>
      </c>
      <c r="EX191" s="52">
        <v>6.78</v>
      </c>
      <c r="EY191" s="52">
        <v>0.39</v>
      </c>
      <c r="EZ191" s="40"/>
      <c r="FA191" s="33"/>
      <c r="FB191" s="33"/>
      <c r="FC191" s="33"/>
      <c r="FD191" s="33"/>
      <c r="FE191" s="33"/>
      <c r="FF191" s="33"/>
      <c r="FG191" s="33"/>
      <c r="FH191" s="33"/>
      <c r="FI191" s="33"/>
      <c r="FJ191" s="33"/>
      <c r="FK191" s="33"/>
      <c r="FL191" s="33"/>
      <c r="FM191" s="33"/>
      <c r="FN191" s="33"/>
      <c r="FO191" s="33"/>
      <c r="FP191" s="33"/>
      <c r="FQ191" s="33"/>
      <c r="FR191" s="33"/>
      <c r="FS191" s="33"/>
      <c r="FT191" s="33"/>
      <c r="FU191" s="33"/>
      <c r="FV191" s="33"/>
      <c r="FW191" s="33"/>
      <c r="FX191" s="33"/>
      <c r="FY191" s="33"/>
      <c r="FZ191" s="33"/>
      <c r="GA191" s="33"/>
    </row>
    <row r="192" ht="15.75" customHeight="1">
      <c r="A192" s="20" t="s">
        <v>440</v>
      </c>
      <c r="B192" s="20"/>
      <c r="C192" s="22"/>
      <c r="D192" s="22"/>
      <c r="E192" s="22"/>
      <c r="F192" s="22"/>
      <c r="G192" s="22"/>
      <c r="H192" s="22"/>
      <c r="I192" s="22"/>
      <c r="J192" s="22"/>
      <c r="K192" s="23"/>
      <c r="L192" s="48" t="s">
        <v>441</v>
      </c>
      <c r="M192" s="23"/>
      <c r="N192" s="23"/>
      <c r="O192" s="22" t="s">
        <v>164</v>
      </c>
      <c r="P192" s="24"/>
      <c r="Q192" s="24" t="str">
        <f t="shared" si="1"/>
        <v>fine-grained, homogeneous, white marble</v>
      </c>
      <c r="R192" s="20" t="s">
        <v>180</v>
      </c>
      <c r="S192" s="20" t="s">
        <v>189</v>
      </c>
      <c r="T192" s="20" t="s">
        <v>194</v>
      </c>
      <c r="U192" s="20" t="s">
        <v>195</v>
      </c>
      <c r="V192" s="20" t="s">
        <v>190</v>
      </c>
      <c r="W192" s="20" t="s">
        <v>166</v>
      </c>
      <c r="X192" s="20">
        <v>1.0</v>
      </c>
      <c r="Y192" s="20" t="s">
        <v>191</v>
      </c>
      <c r="Z192" s="20" t="s">
        <v>213</v>
      </c>
      <c r="AA192" s="33"/>
      <c r="AB192" s="50" t="s">
        <v>166</v>
      </c>
      <c r="AC192" s="50">
        <v>2.4</v>
      </c>
      <c r="AD192" s="50" t="s">
        <v>191</v>
      </c>
      <c r="AE192" s="36" t="s">
        <v>270</v>
      </c>
      <c r="AF192" s="50" t="s">
        <v>166</v>
      </c>
      <c r="AG192" s="50" t="s">
        <v>166</v>
      </c>
      <c r="AH192" s="33" t="s">
        <v>164</v>
      </c>
      <c r="AI192" s="33" t="s">
        <v>164</v>
      </c>
      <c r="AJ192" s="33" t="s">
        <v>164</v>
      </c>
      <c r="AK192" s="33" t="s">
        <v>164</v>
      </c>
      <c r="AL192" s="33" t="s">
        <v>164</v>
      </c>
      <c r="AM192" s="22"/>
      <c r="AN192" s="22"/>
      <c r="AO192" s="43">
        <f t="shared" si="10"/>
        <v>0</v>
      </c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 t="s">
        <v>164</v>
      </c>
      <c r="BF192" s="22" t="s">
        <v>164</v>
      </c>
      <c r="BG192" s="22" t="s">
        <v>164</v>
      </c>
      <c r="BH192" s="22" t="s">
        <v>164</v>
      </c>
      <c r="BI192" s="22"/>
      <c r="BJ192" s="22" t="s">
        <v>164</v>
      </c>
      <c r="BK192" s="22"/>
      <c r="BL192" s="22" t="s">
        <v>164</v>
      </c>
      <c r="BM192" s="22"/>
      <c r="BN192" s="22" t="s">
        <v>164</v>
      </c>
      <c r="BO192" s="22"/>
      <c r="BP192" s="22"/>
      <c r="BQ192" s="22"/>
      <c r="BR192" s="22" t="s">
        <v>164</v>
      </c>
      <c r="BS192" s="22"/>
      <c r="BT192" s="22" t="s">
        <v>164</v>
      </c>
      <c r="BU192" s="22"/>
      <c r="BV192" s="22"/>
      <c r="BW192" s="22"/>
      <c r="BX192" s="22" t="s">
        <v>164</v>
      </c>
      <c r="BY192" s="22"/>
      <c r="BZ192" s="22" t="s">
        <v>164</v>
      </c>
      <c r="CA192" s="22"/>
      <c r="CB192" s="22" t="s">
        <v>164</v>
      </c>
      <c r="CC192" s="22"/>
      <c r="CD192" s="22" t="s">
        <v>164</v>
      </c>
      <c r="CE192" s="33" t="s">
        <v>164</v>
      </c>
      <c r="CF192" s="33" t="s">
        <v>164</v>
      </c>
      <c r="CG192" s="33" t="s">
        <v>164</v>
      </c>
      <c r="CH192" s="33" t="s">
        <v>164</v>
      </c>
      <c r="CI192" s="33" t="s">
        <v>164</v>
      </c>
      <c r="CJ192" s="33" t="s">
        <v>164</v>
      </c>
      <c r="CK192" s="33" t="s">
        <v>164</v>
      </c>
      <c r="CL192" s="33" t="s">
        <v>164</v>
      </c>
      <c r="CM192" s="33" t="s">
        <v>164</v>
      </c>
      <c r="CN192" s="33" t="s">
        <v>164</v>
      </c>
      <c r="CO192" s="33" t="s">
        <v>164</v>
      </c>
      <c r="CP192" s="33" t="s">
        <v>164</v>
      </c>
      <c r="CQ192" s="33" t="s">
        <v>164</v>
      </c>
      <c r="CR192" s="33" t="s">
        <v>164</v>
      </c>
      <c r="CS192" s="33" t="s">
        <v>164</v>
      </c>
      <c r="CT192" s="33" t="s">
        <v>164</v>
      </c>
      <c r="CU192" s="33" t="s">
        <v>164</v>
      </c>
      <c r="CV192" s="33" t="s">
        <v>164</v>
      </c>
      <c r="CW192" s="140" t="s">
        <v>166</v>
      </c>
      <c r="CX192" s="38">
        <v>3.17</v>
      </c>
      <c r="CY192" s="38">
        <v>-1.25</v>
      </c>
      <c r="CZ192" s="50" t="s">
        <v>166</v>
      </c>
      <c r="DA192" s="33" t="s">
        <v>164</v>
      </c>
      <c r="DB192" s="33" t="s">
        <v>164</v>
      </c>
      <c r="DC192" s="33" t="s">
        <v>164</v>
      </c>
      <c r="DD192" s="33" t="s">
        <v>164</v>
      </c>
      <c r="DE192" s="33" t="s">
        <v>164</v>
      </c>
      <c r="DF192" s="33" t="s">
        <v>164</v>
      </c>
      <c r="DG192" s="33" t="s">
        <v>164</v>
      </c>
      <c r="DH192" s="33" t="s">
        <v>164</v>
      </c>
      <c r="DI192" s="33" t="s">
        <v>164</v>
      </c>
      <c r="DJ192" s="106" t="s">
        <v>166</v>
      </c>
      <c r="DK192" s="52">
        <v>0.66</v>
      </c>
      <c r="DL192" s="52">
        <v>6.72</v>
      </c>
      <c r="DM192" s="52">
        <v>36.36</v>
      </c>
      <c r="DN192" s="52">
        <v>2619.18</v>
      </c>
      <c r="DO192" s="52">
        <v>0.10879715</v>
      </c>
      <c r="DP192" s="52">
        <v>19.09</v>
      </c>
      <c r="DQ192" s="52">
        <v>1.13</v>
      </c>
      <c r="DR192" s="52">
        <v>4.83</v>
      </c>
      <c r="DS192" s="52">
        <v>16.64</v>
      </c>
      <c r="DT192" s="52">
        <v>350.04</v>
      </c>
      <c r="DU192" s="52">
        <v>0.54</v>
      </c>
      <c r="DV192" s="52">
        <v>2.57</v>
      </c>
      <c r="DW192" s="52">
        <v>2.26</v>
      </c>
      <c r="DX192" s="52">
        <v>11.91</v>
      </c>
      <c r="DY192" s="52">
        <v>0.11</v>
      </c>
      <c r="DZ192" s="52">
        <v>1.14</v>
      </c>
      <c r="EA192" s="52">
        <v>0.6</v>
      </c>
      <c r="EB192" s="52">
        <v>277.56</v>
      </c>
      <c r="EC192" s="52">
        <v>0.25</v>
      </c>
      <c r="ED192" s="52">
        <v>0.16</v>
      </c>
      <c r="EE192" s="52">
        <v>0.08</v>
      </c>
      <c r="EF192" s="52">
        <v>0.02</v>
      </c>
      <c r="EG192" s="52">
        <v>0.17</v>
      </c>
      <c r="EH192" s="52">
        <v>0.12</v>
      </c>
      <c r="EI192" s="52">
        <v>0.05</v>
      </c>
      <c r="EJ192" s="52">
        <v>2.15</v>
      </c>
      <c r="EK192" s="52">
        <v>0.47</v>
      </c>
      <c r="EL192" s="52">
        <v>0.51</v>
      </c>
      <c r="EM192" s="52">
        <v>0.14</v>
      </c>
      <c r="EN192" s="52">
        <v>0.03</v>
      </c>
      <c r="EO192" s="52">
        <v>0.01</v>
      </c>
      <c r="EP192" s="52">
        <v>0.04</v>
      </c>
      <c r="EQ192" s="52">
        <v>0.03</v>
      </c>
      <c r="ER192" s="52">
        <v>0.02</v>
      </c>
      <c r="ES192" s="52">
        <v>0.02</v>
      </c>
      <c r="ET192" s="52">
        <v>0.00321431</v>
      </c>
      <c r="EU192" s="52">
        <v>13.89</v>
      </c>
      <c r="EV192" s="52">
        <v>34.91</v>
      </c>
      <c r="EW192" s="52">
        <v>9.38</v>
      </c>
      <c r="EX192" s="52">
        <v>0.03</v>
      </c>
      <c r="EY192" s="52">
        <v>0.05</v>
      </c>
      <c r="FA192" s="33"/>
      <c r="FB192" s="33"/>
      <c r="FC192" s="33"/>
      <c r="FD192" s="33"/>
      <c r="FE192" s="33"/>
      <c r="FF192" s="33"/>
      <c r="FG192" s="33"/>
      <c r="FH192" s="33"/>
      <c r="FI192" s="33"/>
      <c r="FJ192" s="33"/>
      <c r="FK192" s="33"/>
      <c r="FL192" s="33"/>
      <c r="FM192" s="33"/>
      <c r="FN192" s="33"/>
      <c r="FO192" s="33"/>
      <c r="FP192" s="33"/>
      <c r="FQ192" s="33"/>
      <c r="FR192" s="33"/>
      <c r="FS192" s="33"/>
      <c r="FT192" s="33"/>
      <c r="FU192" s="33"/>
      <c r="FV192" s="33"/>
      <c r="FW192" s="33"/>
      <c r="FX192" s="33"/>
      <c r="FY192" s="33"/>
      <c r="FZ192" s="33"/>
      <c r="GA192" s="33"/>
    </row>
    <row r="193" ht="15.75" customHeight="1">
      <c r="A193" s="20" t="s">
        <v>442</v>
      </c>
      <c r="B193" s="20"/>
      <c r="C193" s="22"/>
      <c r="D193" s="22"/>
      <c r="E193" s="22"/>
      <c r="F193" s="22"/>
      <c r="G193" s="22"/>
      <c r="H193" s="22"/>
      <c r="I193" s="22"/>
      <c r="J193" s="22"/>
      <c r="K193" s="48" t="s">
        <v>203</v>
      </c>
      <c r="L193" s="62"/>
      <c r="M193" s="23"/>
      <c r="N193" s="23"/>
      <c r="O193" s="22" t="s">
        <v>164</v>
      </c>
      <c r="P193" s="24"/>
      <c r="Q193" s="24" t="str">
        <f t="shared" si="1"/>
        <v>fine-grained, homogeneous, grey marble</v>
      </c>
      <c r="R193" s="20" t="s">
        <v>180</v>
      </c>
      <c r="S193" s="20" t="s">
        <v>181</v>
      </c>
      <c r="T193" s="20" t="s">
        <v>194</v>
      </c>
      <c r="U193" s="20" t="s">
        <v>195</v>
      </c>
      <c r="V193" s="20" t="s">
        <v>190</v>
      </c>
      <c r="W193" s="20" t="s">
        <v>166</v>
      </c>
      <c r="X193" s="20">
        <v>1.9</v>
      </c>
      <c r="Y193" s="20" t="s">
        <v>183</v>
      </c>
      <c r="Z193" s="20" t="s">
        <v>213</v>
      </c>
      <c r="AA193" s="33"/>
      <c r="AB193" s="50" t="s">
        <v>166</v>
      </c>
      <c r="AC193" s="50">
        <v>2.0</v>
      </c>
      <c r="AD193" s="50" t="s">
        <v>183</v>
      </c>
      <c r="AE193" s="36" t="s">
        <v>213</v>
      </c>
      <c r="AF193" s="33" t="s">
        <v>164</v>
      </c>
      <c r="AG193" s="33" t="s">
        <v>164</v>
      </c>
      <c r="AH193" s="50" t="s">
        <v>166</v>
      </c>
      <c r="AI193" s="33" t="s">
        <v>164</v>
      </c>
      <c r="AJ193" s="33" t="s">
        <v>164</v>
      </c>
      <c r="AK193" s="33" t="s">
        <v>164</v>
      </c>
      <c r="AL193" s="33" t="s">
        <v>164</v>
      </c>
      <c r="AM193" s="22"/>
      <c r="AN193" s="22"/>
      <c r="AO193" s="43">
        <f t="shared" si="10"/>
        <v>0</v>
      </c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 t="s">
        <v>164</v>
      </c>
      <c r="BF193" s="22" t="s">
        <v>164</v>
      </c>
      <c r="BG193" s="22" t="s">
        <v>164</v>
      </c>
      <c r="BH193" s="22" t="s">
        <v>164</v>
      </c>
      <c r="BI193" s="22"/>
      <c r="BJ193" s="22" t="s">
        <v>164</v>
      </c>
      <c r="BK193" s="22"/>
      <c r="BL193" s="22" t="s">
        <v>164</v>
      </c>
      <c r="BM193" s="22"/>
      <c r="BN193" s="22" t="s">
        <v>164</v>
      </c>
      <c r="BO193" s="22"/>
      <c r="BP193" s="22"/>
      <c r="BQ193" s="22"/>
      <c r="BR193" s="22" t="s">
        <v>164</v>
      </c>
      <c r="BS193" s="22"/>
      <c r="BT193" s="22" t="s">
        <v>164</v>
      </c>
      <c r="BU193" s="22"/>
      <c r="BV193" s="22"/>
      <c r="BW193" s="22"/>
      <c r="BX193" s="22" t="s">
        <v>164</v>
      </c>
      <c r="BY193" s="22"/>
      <c r="BZ193" s="22" t="s">
        <v>164</v>
      </c>
      <c r="CA193" s="22"/>
      <c r="CB193" s="22" t="s">
        <v>164</v>
      </c>
      <c r="CC193" s="22"/>
      <c r="CD193" s="22" t="s">
        <v>164</v>
      </c>
      <c r="CE193" s="33" t="s">
        <v>164</v>
      </c>
      <c r="CF193" s="33" t="s">
        <v>164</v>
      </c>
      <c r="CG193" s="33" t="s">
        <v>164</v>
      </c>
      <c r="CH193" s="33" t="s">
        <v>164</v>
      </c>
      <c r="CI193" s="33" t="s">
        <v>164</v>
      </c>
      <c r="CJ193" s="33" t="s">
        <v>164</v>
      </c>
      <c r="CK193" s="33" t="s">
        <v>164</v>
      </c>
      <c r="CL193" s="33" t="s">
        <v>164</v>
      </c>
      <c r="CM193" s="33" t="s">
        <v>164</v>
      </c>
      <c r="CN193" s="33" t="s">
        <v>164</v>
      </c>
      <c r="CO193" s="33" t="s">
        <v>164</v>
      </c>
      <c r="CP193" s="33" t="s">
        <v>164</v>
      </c>
      <c r="CQ193" s="33" t="s">
        <v>164</v>
      </c>
      <c r="CR193" s="33" t="s">
        <v>164</v>
      </c>
      <c r="CS193" s="33" t="s">
        <v>164</v>
      </c>
      <c r="CT193" s="33" t="s">
        <v>164</v>
      </c>
      <c r="CU193" s="33" t="s">
        <v>164</v>
      </c>
      <c r="CV193" s="33" t="s">
        <v>164</v>
      </c>
      <c r="CW193" s="146" t="s">
        <v>166</v>
      </c>
      <c r="CX193" s="38">
        <v>2.82</v>
      </c>
      <c r="CY193" s="38">
        <v>-2.03</v>
      </c>
      <c r="CZ193" s="50" t="s">
        <v>166</v>
      </c>
      <c r="DA193" s="33" t="s">
        <v>164</v>
      </c>
      <c r="DB193" s="33" t="s">
        <v>164</v>
      </c>
      <c r="DC193" s="33" t="s">
        <v>164</v>
      </c>
      <c r="DD193" s="33" t="s">
        <v>164</v>
      </c>
      <c r="DE193" s="33" t="s">
        <v>164</v>
      </c>
      <c r="DF193" s="33" t="s">
        <v>164</v>
      </c>
      <c r="DG193" s="33" t="s">
        <v>164</v>
      </c>
      <c r="DH193" s="33" t="s">
        <v>164</v>
      </c>
      <c r="DI193" s="33" t="s">
        <v>164</v>
      </c>
      <c r="DJ193" s="51" t="s">
        <v>166</v>
      </c>
      <c r="DK193" s="52">
        <v>0.76</v>
      </c>
      <c r="DL193" s="52">
        <v>10.56</v>
      </c>
      <c r="DM193" s="52">
        <v>122.28</v>
      </c>
      <c r="DN193" s="52">
        <v>9248.69</v>
      </c>
      <c r="DO193" s="52">
        <v>0.065708808</v>
      </c>
      <c r="DP193" s="52">
        <v>2.41</v>
      </c>
      <c r="DQ193" s="52">
        <v>0.44</v>
      </c>
      <c r="DR193" s="52">
        <v>4.08</v>
      </c>
      <c r="DS193" s="52">
        <v>1.3</v>
      </c>
      <c r="DT193" s="52">
        <v>11.56</v>
      </c>
      <c r="DU193" s="52">
        <v>196.72</v>
      </c>
      <c r="DV193" s="52">
        <v>0.13</v>
      </c>
      <c r="DW193" s="52">
        <v>1.97</v>
      </c>
      <c r="DX193" s="52">
        <v>2.25</v>
      </c>
      <c r="DY193" s="52">
        <v>6.02</v>
      </c>
      <c r="DZ193" s="52">
        <v>0.08</v>
      </c>
      <c r="EA193" s="52">
        <v>1.49</v>
      </c>
      <c r="EB193" s="52">
        <v>0.33</v>
      </c>
      <c r="EC193" s="52">
        <v>182.3</v>
      </c>
      <c r="ED193" s="52">
        <v>1.4</v>
      </c>
      <c r="EE193" s="52">
        <v>0.05</v>
      </c>
      <c r="EF193" s="52">
        <v>0.02</v>
      </c>
      <c r="EG193" s="52">
        <v>0.01</v>
      </c>
      <c r="EH193" s="52">
        <v>0.19</v>
      </c>
      <c r="EI193" s="52">
        <v>0.93</v>
      </c>
      <c r="EJ193" s="52">
        <v>0.05</v>
      </c>
      <c r="EK193" s="52">
        <v>1.72</v>
      </c>
      <c r="EL193" s="52">
        <v>0.41</v>
      </c>
      <c r="EM193" s="52">
        <v>0.33</v>
      </c>
      <c r="EN193" s="52">
        <v>0.25</v>
      </c>
      <c r="EO193" s="52">
        <v>0.05</v>
      </c>
      <c r="EP193" s="52">
        <v>0.01</v>
      </c>
      <c r="EQ193" s="52">
        <v>0.06</v>
      </c>
      <c r="ER193" s="52">
        <v>0.09</v>
      </c>
      <c r="ES193" s="52">
        <v>0.08</v>
      </c>
      <c r="ET193" s="52">
        <v>0.02920572</v>
      </c>
      <c r="EU193" s="52">
        <v>0.02</v>
      </c>
      <c r="EV193" s="52">
        <v>76.8</v>
      </c>
      <c r="EW193" s="52">
        <v>14.26</v>
      </c>
      <c r="EX193" s="52">
        <v>6.97</v>
      </c>
      <c r="EY193" s="52">
        <v>0.01</v>
      </c>
      <c r="FA193" s="33"/>
      <c r="FB193" s="33"/>
      <c r="FC193" s="33"/>
      <c r="FD193" s="33"/>
      <c r="FE193" s="33"/>
      <c r="FF193" s="33"/>
      <c r="FG193" s="33"/>
      <c r="FH193" s="33"/>
      <c r="FI193" s="33"/>
      <c r="FJ193" s="33"/>
      <c r="FK193" s="33"/>
      <c r="FL193" s="33"/>
      <c r="FM193" s="33"/>
      <c r="FN193" s="33"/>
      <c r="FO193" s="33"/>
      <c r="FP193" s="33"/>
      <c r="FQ193" s="33"/>
      <c r="FR193" s="33"/>
      <c r="FS193" s="33"/>
      <c r="FT193" s="33"/>
      <c r="FU193" s="33"/>
      <c r="FV193" s="33"/>
      <c r="FW193" s="33"/>
      <c r="FX193" s="33"/>
      <c r="FY193" s="33"/>
      <c r="FZ193" s="33"/>
      <c r="GA193" s="33"/>
    </row>
    <row r="194" ht="15.75" customHeight="1">
      <c r="A194" s="20" t="s">
        <v>443</v>
      </c>
      <c r="B194" s="20"/>
      <c r="C194" s="22"/>
      <c r="D194" s="22"/>
      <c r="E194" s="22"/>
      <c r="F194" s="22"/>
      <c r="G194" s="22"/>
      <c r="H194" s="22"/>
      <c r="I194" s="22"/>
      <c r="J194" s="22"/>
      <c r="K194" s="48" t="s">
        <v>330</v>
      </c>
      <c r="L194" s="23"/>
      <c r="M194" s="23"/>
      <c r="N194" s="23"/>
      <c r="O194" s="22" t="s">
        <v>164</v>
      </c>
      <c r="P194" s="76" t="s">
        <v>331</v>
      </c>
      <c r="Q194" s="24" t="str">
        <f t="shared" si="1"/>
        <v>fine-grained, homogeneous, white marble</v>
      </c>
      <c r="R194" s="20" t="s">
        <v>180</v>
      </c>
      <c r="S194" s="20" t="s">
        <v>189</v>
      </c>
      <c r="T194" s="20" t="s">
        <v>194</v>
      </c>
      <c r="U194" s="20" t="s">
        <v>195</v>
      </c>
      <c r="V194" s="20" t="s">
        <v>190</v>
      </c>
      <c r="W194" s="20" t="s">
        <v>166</v>
      </c>
      <c r="X194" s="20">
        <v>1.6</v>
      </c>
      <c r="Y194" s="20" t="s">
        <v>209</v>
      </c>
      <c r="Z194" s="20" t="s">
        <v>219</v>
      </c>
      <c r="AA194" s="33"/>
      <c r="AB194" s="50" t="s">
        <v>166</v>
      </c>
      <c r="AC194" s="50">
        <v>1.5</v>
      </c>
      <c r="AD194" s="50" t="s">
        <v>191</v>
      </c>
      <c r="AE194" s="36" t="s">
        <v>213</v>
      </c>
      <c r="AF194" s="33" t="s">
        <v>164</v>
      </c>
      <c r="AG194" s="33" t="s">
        <v>164</v>
      </c>
      <c r="AH194" s="33" t="s">
        <v>164</v>
      </c>
      <c r="AI194" s="33" t="s">
        <v>164</v>
      </c>
      <c r="AJ194" s="33" t="s">
        <v>164</v>
      </c>
      <c r="AK194" s="33" t="s">
        <v>164</v>
      </c>
      <c r="AL194" s="33" t="s">
        <v>164</v>
      </c>
      <c r="AM194" s="22"/>
      <c r="AN194" s="22"/>
      <c r="AO194" s="43">
        <f t="shared" si="10"/>
        <v>0</v>
      </c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 t="s">
        <v>164</v>
      </c>
      <c r="BF194" s="22" t="s">
        <v>164</v>
      </c>
      <c r="BG194" s="22" t="s">
        <v>164</v>
      </c>
      <c r="BH194" s="22" t="s">
        <v>164</v>
      </c>
      <c r="BI194" s="22"/>
      <c r="BJ194" s="22" t="s">
        <v>164</v>
      </c>
      <c r="BK194" s="22"/>
      <c r="BL194" s="22" t="s">
        <v>164</v>
      </c>
      <c r="BM194" s="22"/>
      <c r="BN194" s="22" t="s">
        <v>164</v>
      </c>
      <c r="BO194" s="22"/>
      <c r="BP194" s="22"/>
      <c r="BQ194" s="22"/>
      <c r="BR194" s="22" t="s">
        <v>164</v>
      </c>
      <c r="BS194" s="22"/>
      <c r="BT194" s="22" t="s">
        <v>164</v>
      </c>
      <c r="BU194" s="22"/>
      <c r="BV194" s="22"/>
      <c r="BW194" s="22"/>
      <c r="BX194" s="22" t="s">
        <v>164</v>
      </c>
      <c r="BY194" s="22"/>
      <c r="BZ194" s="22" t="s">
        <v>164</v>
      </c>
      <c r="CA194" s="22"/>
      <c r="CB194" s="22" t="s">
        <v>164</v>
      </c>
      <c r="CC194" s="22"/>
      <c r="CD194" s="22" t="s">
        <v>164</v>
      </c>
      <c r="CE194" s="33" t="s">
        <v>164</v>
      </c>
      <c r="CF194" s="33" t="s">
        <v>164</v>
      </c>
      <c r="CG194" s="33" t="s">
        <v>164</v>
      </c>
      <c r="CH194" s="33" t="s">
        <v>164</v>
      </c>
      <c r="CI194" s="33" t="s">
        <v>164</v>
      </c>
      <c r="CJ194" s="33" t="s">
        <v>164</v>
      </c>
      <c r="CK194" s="33" t="s">
        <v>164</v>
      </c>
      <c r="CL194" s="33" t="s">
        <v>164</v>
      </c>
      <c r="CM194" s="33" t="s">
        <v>164</v>
      </c>
      <c r="CN194" s="33" t="s">
        <v>164</v>
      </c>
      <c r="CO194" s="33" t="s">
        <v>164</v>
      </c>
      <c r="CP194" s="33" t="s">
        <v>164</v>
      </c>
      <c r="CQ194" s="33" t="s">
        <v>164</v>
      </c>
      <c r="CR194" s="33" t="s">
        <v>164</v>
      </c>
      <c r="CS194" s="33" t="s">
        <v>164</v>
      </c>
      <c r="CT194" s="33" t="s">
        <v>164</v>
      </c>
      <c r="CU194" s="33" t="s">
        <v>164</v>
      </c>
      <c r="CV194" s="33" t="s">
        <v>164</v>
      </c>
      <c r="CW194" s="37" t="s">
        <v>166</v>
      </c>
      <c r="CX194" s="38">
        <v>3.54</v>
      </c>
      <c r="CY194" s="38">
        <v>-3.84</v>
      </c>
      <c r="CZ194" s="50" t="s">
        <v>166</v>
      </c>
      <c r="DA194" s="33" t="s">
        <v>164</v>
      </c>
      <c r="DB194" s="33" t="s">
        <v>164</v>
      </c>
      <c r="DC194" s="33" t="s">
        <v>164</v>
      </c>
      <c r="DD194" s="33" t="s">
        <v>164</v>
      </c>
      <c r="DE194" s="33" t="s">
        <v>164</v>
      </c>
      <c r="DF194" s="33" t="s">
        <v>164</v>
      </c>
      <c r="DG194" s="33" t="s">
        <v>164</v>
      </c>
      <c r="DH194" s="33" t="s">
        <v>164</v>
      </c>
      <c r="DI194" s="33" t="s">
        <v>164</v>
      </c>
      <c r="DJ194" s="51" t="s">
        <v>166</v>
      </c>
      <c r="DK194" s="52">
        <v>1.35</v>
      </c>
      <c r="DL194" s="52">
        <v>20.56</v>
      </c>
      <c r="DM194" s="52">
        <v>256.66</v>
      </c>
      <c r="DN194" s="131" t="e">
        <v>#VALUE!</v>
      </c>
      <c r="DO194" s="52">
        <v>0.150835775</v>
      </c>
      <c r="DP194" s="52">
        <v>14.08</v>
      </c>
      <c r="DQ194" s="52">
        <v>1.25</v>
      </c>
      <c r="DR194" s="52">
        <v>6.73</v>
      </c>
      <c r="DS194" s="52">
        <v>42.76</v>
      </c>
      <c r="DT194" s="52">
        <v>364.66</v>
      </c>
      <c r="DU194" s="52">
        <v>0.3</v>
      </c>
      <c r="DV194" s="52">
        <v>5.02</v>
      </c>
      <c r="DW194" s="52">
        <v>9.33</v>
      </c>
      <c r="DX194" s="52">
        <v>49.59</v>
      </c>
      <c r="DY194" s="52">
        <v>0.11</v>
      </c>
      <c r="DZ194" s="52">
        <v>1.02</v>
      </c>
      <c r="EA194" s="52">
        <v>0.24</v>
      </c>
      <c r="EB194" s="52">
        <v>69.92</v>
      </c>
      <c r="EC194" s="52">
        <v>0.51</v>
      </c>
      <c r="ED194" s="52">
        <v>0.14</v>
      </c>
      <c r="EE194" s="52">
        <v>0.05</v>
      </c>
      <c r="EF194" s="52">
        <v>0.11</v>
      </c>
      <c r="EG194" s="52">
        <v>0.22</v>
      </c>
      <c r="EH194" s="52">
        <v>0.39</v>
      </c>
      <c r="EI194" s="52">
        <v>0.02</v>
      </c>
      <c r="EJ194" s="52">
        <v>3.62</v>
      </c>
      <c r="EK194" s="52">
        <v>0.25</v>
      </c>
      <c r="EL194" s="52">
        <v>0.27</v>
      </c>
      <c r="EM194" s="52">
        <v>0.2</v>
      </c>
      <c r="EN194" s="52">
        <v>0.05</v>
      </c>
      <c r="EO194" s="52">
        <v>0.01</v>
      </c>
      <c r="EP194" s="52">
        <v>0.06</v>
      </c>
      <c r="EQ194" s="52">
        <v>0.05</v>
      </c>
      <c r="ER194" s="52">
        <v>0.04</v>
      </c>
      <c r="ES194" s="52">
        <v>0.02</v>
      </c>
      <c r="ET194" s="52">
        <v>6.93101E-4</v>
      </c>
      <c r="EU194" s="52">
        <v>28.03</v>
      </c>
      <c r="EV194" s="52">
        <v>127.75</v>
      </c>
      <c r="EW194" s="52">
        <v>12.16</v>
      </c>
      <c r="EX194" s="52">
        <v>2.62</v>
      </c>
      <c r="EY194" s="52">
        <v>0.26</v>
      </c>
      <c r="FA194" s="40"/>
      <c r="FB194" s="40"/>
      <c r="FC194" s="40"/>
      <c r="FD194" s="40"/>
      <c r="FE194" s="40"/>
      <c r="FF194" s="40"/>
      <c r="FG194" s="40"/>
      <c r="FH194" s="40"/>
      <c r="FI194" s="40"/>
      <c r="FJ194" s="40"/>
      <c r="FK194" s="40"/>
      <c r="FL194" s="40"/>
      <c r="FM194" s="40"/>
      <c r="FN194" s="40"/>
      <c r="FO194" s="40"/>
      <c r="FP194" s="40"/>
      <c r="FQ194" s="40"/>
      <c r="FR194" s="40"/>
      <c r="FS194" s="40"/>
      <c r="FT194" s="40"/>
      <c r="FU194" s="40"/>
      <c r="FV194" s="40"/>
      <c r="FW194" s="40"/>
      <c r="FX194" s="40"/>
      <c r="FY194" s="40"/>
      <c r="FZ194" s="40"/>
      <c r="GA194" s="40"/>
    </row>
    <row r="195" ht="15.75" customHeight="1">
      <c r="A195" s="20" t="s">
        <v>444</v>
      </c>
      <c r="B195" s="20"/>
      <c r="C195" s="22"/>
      <c r="D195" s="22"/>
      <c r="E195" s="22"/>
      <c r="F195" s="22"/>
      <c r="G195" s="22"/>
      <c r="H195" s="22"/>
      <c r="I195" s="22"/>
      <c r="J195" s="22"/>
      <c r="K195" s="48" t="s">
        <v>225</v>
      </c>
      <c r="L195" s="23"/>
      <c r="M195" s="23"/>
      <c r="N195" s="23"/>
      <c r="O195" s="22" t="s">
        <v>164</v>
      </c>
      <c r="P195" s="24"/>
      <c r="Q195" s="24" t="str">
        <f t="shared" si="1"/>
        <v>very fine-grained, homogeneous, white marble</v>
      </c>
      <c r="R195" s="20" t="s">
        <v>188</v>
      </c>
      <c r="S195" s="20" t="s">
        <v>189</v>
      </c>
      <c r="T195" s="20" t="s">
        <v>194</v>
      </c>
      <c r="U195" s="20" t="s">
        <v>195</v>
      </c>
      <c r="V195" s="20" t="s">
        <v>190</v>
      </c>
      <c r="W195" s="20" t="s">
        <v>166</v>
      </c>
      <c r="X195" s="20">
        <v>0.5</v>
      </c>
      <c r="Y195" s="20" t="s">
        <v>196</v>
      </c>
      <c r="Z195" s="20" t="s">
        <v>198</v>
      </c>
      <c r="AA195" s="33"/>
      <c r="AB195" s="50" t="s">
        <v>166</v>
      </c>
      <c r="AC195" s="50">
        <v>0.6</v>
      </c>
      <c r="AD195" s="50" t="s">
        <v>196</v>
      </c>
      <c r="AE195" s="36" t="s">
        <v>245</v>
      </c>
      <c r="AF195" s="50" t="s">
        <v>166</v>
      </c>
      <c r="AG195" s="50" t="s">
        <v>166</v>
      </c>
      <c r="AH195" s="33" t="s">
        <v>164</v>
      </c>
      <c r="AI195" s="33" t="s">
        <v>164</v>
      </c>
      <c r="AJ195" s="33" t="s">
        <v>164</v>
      </c>
      <c r="AK195" s="33" t="s">
        <v>164</v>
      </c>
      <c r="AL195" s="33" t="s">
        <v>164</v>
      </c>
      <c r="AM195" s="22"/>
      <c r="AN195" s="22"/>
      <c r="AO195" s="43">
        <f t="shared" si="10"/>
        <v>0</v>
      </c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 t="s">
        <v>164</v>
      </c>
      <c r="BF195" s="22" t="s">
        <v>164</v>
      </c>
      <c r="BG195" s="22" t="s">
        <v>164</v>
      </c>
      <c r="BH195" s="22" t="s">
        <v>164</v>
      </c>
      <c r="BI195" s="22"/>
      <c r="BJ195" s="22" t="s">
        <v>164</v>
      </c>
      <c r="BK195" s="22"/>
      <c r="BL195" s="22" t="s">
        <v>164</v>
      </c>
      <c r="BM195" s="22"/>
      <c r="BN195" s="22" t="s">
        <v>164</v>
      </c>
      <c r="BO195" s="22"/>
      <c r="BP195" s="22"/>
      <c r="BQ195" s="22"/>
      <c r="BR195" s="22" t="s">
        <v>164</v>
      </c>
      <c r="BS195" s="22"/>
      <c r="BT195" s="22" t="s">
        <v>164</v>
      </c>
      <c r="BU195" s="22"/>
      <c r="BV195" s="22"/>
      <c r="BW195" s="22"/>
      <c r="BX195" s="22" t="s">
        <v>164</v>
      </c>
      <c r="BY195" s="22"/>
      <c r="BZ195" s="22" t="s">
        <v>164</v>
      </c>
      <c r="CA195" s="22"/>
      <c r="CB195" s="22" t="s">
        <v>164</v>
      </c>
      <c r="CC195" s="22"/>
      <c r="CD195" s="22" t="s">
        <v>164</v>
      </c>
      <c r="CE195" s="33" t="s">
        <v>164</v>
      </c>
      <c r="CF195" s="33" t="s">
        <v>164</v>
      </c>
      <c r="CG195" s="33" t="s">
        <v>164</v>
      </c>
      <c r="CH195" s="33" t="s">
        <v>164</v>
      </c>
      <c r="CI195" s="33" t="s">
        <v>164</v>
      </c>
      <c r="CJ195" s="33" t="s">
        <v>164</v>
      </c>
      <c r="CK195" s="33" t="s">
        <v>164</v>
      </c>
      <c r="CL195" s="33" t="s">
        <v>164</v>
      </c>
      <c r="CM195" s="33" t="s">
        <v>164</v>
      </c>
      <c r="CN195" s="33" t="s">
        <v>164</v>
      </c>
      <c r="CO195" s="33" t="s">
        <v>164</v>
      </c>
      <c r="CP195" s="33" t="s">
        <v>164</v>
      </c>
      <c r="CQ195" s="33" t="s">
        <v>164</v>
      </c>
      <c r="CR195" s="33" t="s">
        <v>164</v>
      </c>
      <c r="CS195" s="33" t="s">
        <v>164</v>
      </c>
      <c r="CT195" s="33" t="s">
        <v>164</v>
      </c>
      <c r="CU195" s="33" t="s">
        <v>164</v>
      </c>
      <c r="CV195" s="33" t="s">
        <v>164</v>
      </c>
      <c r="CW195" s="144" t="s">
        <v>166</v>
      </c>
      <c r="CX195" s="117">
        <v>2.06</v>
      </c>
      <c r="CY195" s="38">
        <v>-1.66</v>
      </c>
      <c r="CZ195" s="50" t="s">
        <v>166</v>
      </c>
      <c r="DA195" s="33" t="s">
        <v>164</v>
      </c>
      <c r="DB195" s="33" t="s">
        <v>164</v>
      </c>
      <c r="DC195" s="33" t="s">
        <v>164</v>
      </c>
      <c r="DD195" s="33" t="s">
        <v>164</v>
      </c>
      <c r="DE195" s="33" t="s">
        <v>164</v>
      </c>
      <c r="DF195" s="33" t="s">
        <v>164</v>
      </c>
      <c r="DG195" s="33" t="s">
        <v>164</v>
      </c>
      <c r="DH195" s="33" t="s">
        <v>164</v>
      </c>
      <c r="DI195" s="33" t="s">
        <v>164</v>
      </c>
      <c r="DJ195" s="49" t="s">
        <v>166</v>
      </c>
      <c r="DK195" s="52">
        <v>0.64</v>
      </c>
      <c r="DL195" s="52">
        <v>4.49</v>
      </c>
      <c r="DM195" s="52">
        <v>41.53</v>
      </c>
      <c r="DN195" s="52">
        <v>4359.5</v>
      </c>
      <c r="DO195" s="52">
        <v>0.092587244</v>
      </c>
      <c r="DP195" s="52">
        <v>1.43</v>
      </c>
      <c r="DQ195" s="52">
        <v>0.77</v>
      </c>
      <c r="DR195" s="52">
        <v>3.9</v>
      </c>
      <c r="DS195" s="52">
        <v>1.32</v>
      </c>
      <c r="DT195" s="52">
        <v>42.5</v>
      </c>
      <c r="DU195" s="52">
        <v>261.95</v>
      </c>
      <c r="DV195" s="52">
        <v>0.18</v>
      </c>
      <c r="DW195" s="52">
        <v>2.51</v>
      </c>
      <c r="DX195" s="52">
        <v>1.48</v>
      </c>
      <c r="DY195" s="52">
        <v>6.23</v>
      </c>
      <c r="DZ195" s="52">
        <v>0.03</v>
      </c>
      <c r="EA195" s="52">
        <v>0.15</v>
      </c>
      <c r="EB195" s="52">
        <v>0.05</v>
      </c>
      <c r="EC195" s="52">
        <v>260.33</v>
      </c>
      <c r="ED195" s="52">
        <v>2.7</v>
      </c>
      <c r="EE195" s="52">
        <v>0.09</v>
      </c>
      <c r="EF195" s="52">
        <v>0.01</v>
      </c>
      <c r="EG195" s="52">
        <v>0.01</v>
      </c>
      <c r="EH195" s="52">
        <v>0.28</v>
      </c>
      <c r="EI195" s="52">
        <v>0.05</v>
      </c>
      <c r="EJ195" s="52">
        <v>0.02</v>
      </c>
      <c r="EK195" s="52">
        <v>1.59</v>
      </c>
      <c r="EL195" s="52">
        <v>0.9</v>
      </c>
      <c r="EM195" s="52">
        <v>0.4</v>
      </c>
      <c r="EN195" s="52">
        <v>0.47</v>
      </c>
      <c r="EO195" s="52">
        <v>0.07</v>
      </c>
      <c r="EP195" s="52">
        <v>0.02</v>
      </c>
      <c r="EQ195" s="52">
        <v>0.11</v>
      </c>
      <c r="ER195" s="52">
        <v>0.15</v>
      </c>
      <c r="ES195" s="52">
        <v>0.14</v>
      </c>
      <c r="ET195" s="52">
        <v>0.04359366</v>
      </c>
      <c r="EU195" s="52">
        <v>0.0</v>
      </c>
      <c r="EV195" s="52">
        <v>4.28</v>
      </c>
      <c r="EW195" s="52">
        <v>7.66</v>
      </c>
      <c r="EX195" s="52">
        <v>3.48</v>
      </c>
      <c r="EY195" s="52">
        <v>0.12</v>
      </c>
      <c r="EZ195" s="40"/>
      <c r="FA195" s="40"/>
      <c r="FB195" s="40"/>
      <c r="FC195" s="40"/>
      <c r="FD195" s="40"/>
      <c r="FE195" s="40"/>
      <c r="FF195" s="40"/>
      <c r="FG195" s="40"/>
      <c r="FH195" s="40"/>
      <c r="FI195" s="40"/>
      <c r="FJ195" s="40"/>
      <c r="FK195" s="40"/>
      <c r="FL195" s="40"/>
      <c r="FM195" s="40"/>
      <c r="FN195" s="40"/>
      <c r="FO195" s="40"/>
      <c r="FP195" s="40"/>
      <c r="FQ195" s="40"/>
      <c r="FR195" s="40"/>
      <c r="FS195" s="40"/>
      <c r="FT195" s="40"/>
      <c r="FU195" s="40"/>
      <c r="FV195" s="40"/>
      <c r="FW195" s="40"/>
      <c r="FX195" s="40"/>
      <c r="FY195" s="40"/>
      <c r="FZ195" s="40"/>
      <c r="GA195" s="40"/>
    </row>
    <row r="196" ht="15.75" customHeight="1">
      <c r="A196" s="20" t="s">
        <v>445</v>
      </c>
      <c r="B196" s="20"/>
      <c r="C196" s="22"/>
      <c r="D196" s="22"/>
      <c r="E196" s="22"/>
      <c r="F196" s="22"/>
      <c r="G196" s="22"/>
      <c r="H196" s="22"/>
      <c r="I196" s="22"/>
      <c r="J196" s="22"/>
      <c r="K196" s="23"/>
      <c r="L196" s="23"/>
      <c r="M196" s="23"/>
      <c r="N196" s="23"/>
      <c r="O196" s="22"/>
      <c r="P196" s="24"/>
      <c r="Q196" s="24" t="str">
        <f t="shared" si="1"/>
        <v>fine-grained, homogeneous, grey marble</v>
      </c>
      <c r="R196" s="20" t="s">
        <v>180</v>
      </c>
      <c r="S196" s="20" t="s">
        <v>181</v>
      </c>
      <c r="T196" s="20" t="s">
        <v>194</v>
      </c>
      <c r="U196" s="20" t="s">
        <v>195</v>
      </c>
      <c r="V196" s="22"/>
      <c r="W196" s="20" t="s">
        <v>166</v>
      </c>
      <c r="X196" s="20">
        <v>1.0</v>
      </c>
      <c r="Y196" s="20" t="s">
        <v>191</v>
      </c>
      <c r="Z196" s="20" t="s">
        <v>219</v>
      </c>
      <c r="AA196" s="33"/>
      <c r="AB196" s="33"/>
      <c r="AC196" s="33"/>
      <c r="AD196" s="33"/>
      <c r="AE196" s="36"/>
      <c r="AF196" s="33"/>
      <c r="AG196" s="33"/>
      <c r="AH196" s="33"/>
      <c r="AI196" s="33"/>
      <c r="AJ196" s="33"/>
      <c r="AK196" s="33"/>
      <c r="AL196" s="33"/>
      <c r="AM196" s="22"/>
      <c r="AN196" s="22"/>
      <c r="AO196" s="43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90"/>
      <c r="CX196" s="142"/>
      <c r="CY196" s="142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49"/>
      <c r="DK196" s="63"/>
      <c r="DL196" s="63"/>
      <c r="DM196" s="63"/>
      <c r="DN196" s="63"/>
      <c r="DO196" s="63"/>
      <c r="DP196" s="63"/>
      <c r="DQ196" s="63"/>
      <c r="DR196" s="63"/>
      <c r="DS196" s="63"/>
      <c r="DT196" s="63"/>
      <c r="DU196" s="63"/>
      <c r="DV196" s="63"/>
      <c r="DW196" s="63"/>
      <c r="DX196" s="63"/>
      <c r="DY196" s="63"/>
      <c r="DZ196" s="63"/>
      <c r="EA196" s="63"/>
      <c r="EB196" s="63"/>
      <c r="EC196" s="63"/>
      <c r="ED196" s="63"/>
      <c r="EE196" s="63"/>
      <c r="EF196" s="63"/>
      <c r="EG196" s="63"/>
      <c r="EH196" s="63"/>
      <c r="EI196" s="63"/>
      <c r="EJ196" s="63"/>
      <c r="EK196" s="63"/>
      <c r="EL196" s="63"/>
      <c r="EM196" s="63"/>
      <c r="EN196" s="63"/>
      <c r="EO196" s="63"/>
      <c r="EP196" s="63"/>
      <c r="EQ196" s="63"/>
      <c r="ER196" s="63"/>
      <c r="ES196" s="63"/>
      <c r="ET196" s="63"/>
      <c r="EU196" s="63"/>
      <c r="EV196" s="63"/>
      <c r="EW196" s="63"/>
      <c r="EX196" s="63"/>
      <c r="EY196" s="63"/>
      <c r="EZ196" s="40"/>
      <c r="FA196" s="40"/>
      <c r="FB196" s="40"/>
      <c r="FC196" s="40"/>
      <c r="FD196" s="40"/>
      <c r="FE196" s="40"/>
      <c r="FF196" s="40"/>
      <c r="FG196" s="40"/>
      <c r="FH196" s="40"/>
      <c r="FI196" s="40"/>
      <c r="FJ196" s="40"/>
      <c r="FK196" s="40"/>
      <c r="FL196" s="40"/>
      <c r="FM196" s="40"/>
      <c r="FN196" s="40"/>
      <c r="FO196" s="40"/>
      <c r="FP196" s="40"/>
      <c r="FQ196" s="40"/>
      <c r="FR196" s="40"/>
      <c r="FS196" s="40"/>
      <c r="FT196" s="40"/>
      <c r="FU196" s="40"/>
      <c r="FV196" s="40"/>
      <c r="FW196" s="40"/>
      <c r="FX196" s="40"/>
      <c r="FY196" s="40"/>
      <c r="FZ196" s="40"/>
      <c r="GA196" s="40"/>
    </row>
    <row r="197" ht="15.75" customHeight="1">
      <c r="A197" s="20" t="s">
        <v>446</v>
      </c>
      <c r="B197" s="20"/>
      <c r="C197" s="22"/>
      <c r="D197" s="22"/>
      <c r="E197" s="22"/>
      <c r="F197" s="22"/>
      <c r="G197" s="22"/>
      <c r="H197" s="22"/>
      <c r="I197" s="22"/>
      <c r="J197" s="22"/>
      <c r="K197" s="48" t="s">
        <v>203</v>
      </c>
      <c r="L197" s="23"/>
      <c r="M197" s="23"/>
      <c r="N197" s="23"/>
      <c r="O197" s="22" t="s">
        <v>164</v>
      </c>
      <c r="P197" s="44"/>
      <c r="Q197" s="24" t="str">
        <f t="shared" si="1"/>
        <v>very fine-grained, veined, white marble</v>
      </c>
      <c r="R197" s="20" t="s">
        <v>188</v>
      </c>
      <c r="S197" s="20" t="s">
        <v>189</v>
      </c>
      <c r="T197" s="20" t="s">
        <v>206</v>
      </c>
      <c r="U197" s="20" t="s">
        <v>312</v>
      </c>
      <c r="V197" s="20" t="s">
        <v>190</v>
      </c>
      <c r="W197" s="20" t="s">
        <v>166</v>
      </c>
      <c r="X197" s="20">
        <v>0.5</v>
      </c>
      <c r="Y197" s="20" t="s">
        <v>191</v>
      </c>
      <c r="Z197" s="20" t="s">
        <v>245</v>
      </c>
      <c r="AA197" s="50" t="s">
        <v>166</v>
      </c>
      <c r="AB197" s="50" t="s">
        <v>166</v>
      </c>
      <c r="AC197" s="50">
        <v>1.2</v>
      </c>
      <c r="AD197" s="50" t="s">
        <v>191</v>
      </c>
      <c r="AE197" s="36" t="s">
        <v>198</v>
      </c>
      <c r="AF197" s="50" t="s">
        <v>166</v>
      </c>
      <c r="AG197" s="50" t="s">
        <v>166</v>
      </c>
      <c r="AH197" s="33" t="s">
        <v>164</v>
      </c>
      <c r="AI197" s="33" t="s">
        <v>164</v>
      </c>
      <c r="AJ197" s="33" t="s">
        <v>164</v>
      </c>
      <c r="AK197" s="33" t="s">
        <v>164</v>
      </c>
      <c r="AL197" s="33" t="s">
        <v>164</v>
      </c>
      <c r="AM197" s="22"/>
      <c r="AN197" s="76" t="s">
        <v>447</v>
      </c>
      <c r="AO197" s="43">
        <f t="shared" ref="AO197:AO209" si="11">SUM(AP197,AQ197,AR197)</f>
        <v>0</v>
      </c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 t="s">
        <v>164</v>
      </c>
      <c r="BF197" s="22" t="s">
        <v>164</v>
      </c>
      <c r="BG197" s="22" t="s">
        <v>164</v>
      </c>
      <c r="BH197" s="22" t="s">
        <v>164</v>
      </c>
      <c r="BI197" s="22"/>
      <c r="BJ197" s="22" t="s">
        <v>164</v>
      </c>
      <c r="BK197" s="22"/>
      <c r="BL197" s="22" t="s">
        <v>164</v>
      </c>
      <c r="BM197" s="22"/>
      <c r="BN197" s="22" t="s">
        <v>164</v>
      </c>
      <c r="BO197" s="22"/>
      <c r="BP197" s="22"/>
      <c r="BQ197" s="22"/>
      <c r="BR197" s="22" t="s">
        <v>164</v>
      </c>
      <c r="BS197" s="22"/>
      <c r="BT197" s="22" t="s">
        <v>164</v>
      </c>
      <c r="BU197" s="22"/>
      <c r="BV197" s="22"/>
      <c r="BW197" s="22"/>
      <c r="BX197" s="22" t="s">
        <v>164</v>
      </c>
      <c r="BY197" s="22"/>
      <c r="BZ197" s="22" t="s">
        <v>164</v>
      </c>
      <c r="CA197" s="22"/>
      <c r="CB197" s="22" t="s">
        <v>164</v>
      </c>
      <c r="CC197" s="22"/>
      <c r="CD197" s="22" t="s">
        <v>164</v>
      </c>
      <c r="CE197" s="33" t="s">
        <v>164</v>
      </c>
      <c r="CF197" s="33" t="s">
        <v>164</v>
      </c>
      <c r="CG197" s="33" t="s">
        <v>164</v>
      </c>
      <c r="CH197" s="33" t="s">
        <v>164</v>
      </c>
      <c r="CI197" s="33" t="s">
        <v>164</v>
      </c>
      <c r="CJ197" s="33" t="s">
        <v>164</v>
      </c>
      <c r="CK197" s="33" t="s">
        <v>164</v>
      </c>
      <c r="CL197" s="33" t="s">
        <v>164</v>
      </c>
      <c r="CM197" s="33" t="s">
        <v>164</v>
      </c>
      <c r="CN197" s="33" t="s">
        <v>164</v>
      </c>
      <c r="CO197" s="33" t="s">
        <v>164</v>
      </c>
      <c r="CP197" s="33" t="s">
        <v>164</v>
      </c>
      <c r="CQ197" s="33" t="s">
        <v>164</v>
      </c>
      <c r="CR197" s="33" t="s">
        <v>164</v>
      </c>
      <c r="CS197" s="33" t="s">
        <v>164</v>
      </c>
      <c r="CT197" s="33" t="s">
        <v>164</v>
      </c>
      <c r="CU197" s="33" t="s">
        <v>164</v>
      </c>
      <c r="CV197" s="33" t="s">
        <v>164</v>
      </c>
      <c r="CW197" s="140" t="s">
        <v>166</v>
      </c>
      <c r="CX197" s="38">
        <v>1.66</v>
      </c>
      <c r="CY197" s="38">
        <v>-5.0</v>
      </c>
      <c r="CZ197" s="50" t="s">
        <v>166</v>
      </c>
      <c r="DA197" s="33" t="s">
        <v>164</v>
      </c>
      <c r="DB197" s="33" t="s">
        <v>164</v>
      </c>
      <c r="DC197" s="33" t="s">
        <v>164</v>
      </c>
      <c r="DD197" s="33" t="s">
        <v>164</v>
      </c>
      <c r="DE197" s="33" t="s">
        <v>164</v>
      </c>
      <c r="DF197" s="33" t="s">
        <v>164</v>
      </c>
      <c r="DG197" s="33" t="s">
        <v>164</v>
      </c>
      <c r="DH197" s="33" t="s">
        <v>164</v>
      </c>
      <c r="DI197" s="33" t="s">
        <v>164</v>
      </c>
      <c r="DJ197" s="50" t="s">
        <v>166</v>
      </c>
      <c r="DK197" s="52">
        <v>0.87</v>
      </c>
      <c r="DL197" s="52">
        <v>3.88</v>
      </c>
      <c r="DM197" s="52">
        <v>160.92</v>
      </c>
      <c r="DN197" s="52">
        <v>3686.39</v>
      </c>
      <c r="DO197" s="52">
        <v>0.246158873</v>
      </c>
      <c r="DP197" s="52">
        <v>23.18</v>
      </c>
      <c r="DQ197" s="52">
        <v>0.63</v>
      </c>
      <c r="DR197" s="52">
        <v>4.01</v>
      </c>
      <c r="DS197" s="52">
        <v>96.49</v>
      </c>
      <c r="DT197" s="52">
        <v>1209.67</v>
      </c>
      <c r="DU197" s="52">
        <v>0.6</v>
      </c>
      <c r="DV197" s="52">
        <v>3.73</v>
      </c>
      <c r="DW197" s="52">
        <v>2.21</v>
      </c>
      <c r="DX197" s="52">
        <v>13.21</v>
      </c>
      <c r="DY197" s="52">
        <v>0.2</v>
      </c>
      <c r="DZ197" s="52">
        <v>0.82</v>
      </c>
      <c r="EA197" s="52">
        <v>0.3</v>
      </c>
      <c r="EB197" s="52">
        <v>153.17</v>
      </c>
      <c r="EC197" s="52">
        <v>2.17</v>
      </c>
      <c r="ED197" s="52">
        <v>0.21</v>
      </c>
      <c r="EE197" s="52">
        <v>0.03</v>
      </c>
      <c r="EF197" s="52">
        <v>0.12</v>
      </c>
      <c r="EG197" s="52">
        <v>0.15</v>
      </c>
      <c r="EH197" s="52">
        <v>0.2</v>
      </c>
      <c r="EI197" s="52">
        <v>0.07</v>
      </c>
      <c r="EJ197" s="52">
        <v>1.97</v>
      </c>
      <c r="EK197" s="52">
        <v>1.74</v>
      </c>
      <c r="EL197" s="52">
        <v>1.76</v>
      </c>
      <c r="EM197" s="52">
        <v>1.7</v>
      </c>
      <c r="EN197" s="52">
        <v>0.33</v>
      </c>
      <c r="EO197" s="52">
        <v>0.06</v>
      </c>
      <c r="EP197" s="52">
        <v>0.33</v>
      </c>
      <c r="EQ197" s="52">
        <v>0.32</v>
      </c>
      <c r="ER197" s="52">
        <v>0.19</v>
      </c>
      <c r="ES197" s="52">
        <v>0.12</v>
      </c>
      <c r="ET197" s="52">
        <v>0.003016032</v>
      </c>
      <c r="EU197" s="52">
        <v>5.83</v>
      </c>
      <c r="EV197" s="52">
        <v>11.62</v>
      </c>
      <c r="EW197" s="52">
        <v>17.22</v>
      </c>
      <c r="EX197" s="52">
        <v>0.04</v>
      </c>
      <c r="EY197" s="52">
        <v>0.05</v>
      </c>
      <c r="EZ197" s="40"/>
      <c r="FA197" s="40"/>
      <c r="FB197" s="40"/>
      <c r="FC197" s="40"/>
      <c r="FD197" s="40"/>
      <c r="FE197" s="40"/>
      <c r="FF197" s="40"/>
      <c r="FG197" s="40"/>
      <c r="FH197" s="40"/>
      <c r="FI197" s="40"/>
      <c r="FJ197" s="40"/>
      <c r="FK197" s="40"/>
      <c r="FL197" s="40"/>
      <c r="FM197" s="40"/>
      <c r="FN197" s="40"/>
      <c r="FO197" s="40"/>
      <c r="FP197" s="40"/>
      <c r="FQ197" s="40"/>
      <c r="FR197" s="40"/>
      <c r="FS197" s="40"/>
      <c r="FT197" s="40"/>
      <c r="FU197" s="40"/>
      <c r="FV197" s="40"/>
      <c r="FW197" s="40"/>
      <c r="FX197" s="40"/>
      <c r="FY197" s="40"/>
      <c r="FZ197" s="40"/>
      <c r="GA197" s="40"/>
    </row>
    <row r="198" ht="15.75" customHeight="1">
      <c r="A198" s="20" t="s">
        <v>448</v>
      </c>
      <c r="B198" s="20"/>
      <c r="C198" s="22"/>
      <c r="D198" s="22"/>
      <c r="E198" s="22"/>
      <c r="F198" s="22"/>
      <c r="G198" s="22"/>
      <c r="H198" s="22"/>
      <c r="I198" s="22"/>
      <c r="J198" s="22"/>
      <c r="K198" s="23"/>
      <c r="L198" s="23"/>
      <c r="M198" s="23"/>
      <c r="N198" s="23"/>
      <c r="O198" s="22"/>
      <c r="P198" s="24"/>
      <c r="Q198" s="24" t="str">
        <f t="shared" si="1"/>
        <v>very fine-grained, homogeneous, white marble</v>
      </c>
      <c r="R198" s="20" t="s">
        <v>188</v>
      </c>
      <c r="S198" s="20" t="s">
        <v>189</v>
      </c>
      <c r="T198" s="20" t="s">
        <v>194</v>
      </c>
      <c r="U198" s="20" t="s">
        <v>195</v>
      </c>
      <c r="V198" s="22"/>
      <c r="W198" s="20" t="s">
        <v>166</v>
      </c>
      <c r="X198" s="20">
        <v>0.4</v>
      </c>
      <c r="Y198" s="20" t="s">
        <v>209</v>
      </c>
      <c r="Z198" s="20" t="s">
        <v>184</v>
      </c>
      <c r="AE198" s="110"/>
      <c r="AM198" s="22"/>
      <c r="AN198" s="22"/>
      <c r="AO198" s="43">
        <f t="shared" si="11"/>
        <v>0</v>
      </c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V198" s="33" t="s">
        <v>164</v>
      </c>
      <c r="CW198" s="116"/>
      <c r="CX198" s="47"/>
      <c r="CY198" s="47"/>
      <c r="DJ198" s="33"/>
      <c r="DK198" s="33"/>
      <c r="DL198" s="33"/>
      <c r="DM198" s="33"/>
      <c r="DN198" s="33"/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  <c r="ED198" s="33"/>
      <c r="EE198" s="33"/>
      <c r="EF198" s="33"/>
      <c r="EG198" s="33"/>
      <c r="EH198" s="33"/>
      <c r="EI198" s="33"/>
      <c r="EJ198" s="33"/>
      <c r="EK198" s="33"/>
      <c r="EL198" s="33"/>
      <c r="EM198" s="33"/>
      <c r="EN198" s="33"/>
      <c r="EO198" s="33"/>
      <c r="EP198" s="33"/>
      <c r="EQ198" s="33"/>
      <c r="ER198" s="33"/>
      <c r="ES198" s="33"/>
      <c r="ET198" s="33"/>
      <c r="EU198" s="33"/>
      <c r="EV198" s="33"/>
      <c r="EW198" s="33"/>
      <c r="EX198" s="33"/>
      <c r="EY198" s="33"/>
      <c r="EZ198" s="33"/>
      <c r="FA198" s="40"/>
      <c r="FB198" s="40"/>
      <c r="FC198" s="40"/>
      <c r="FD198" s="40"/>
      <c r="FE198" s="40"/>
      <c r="FF198" s="40"/>
      <c r="FG198" s="40"/>
      <c r="FH198" s="40"/>
      <c r="FI198" s="40"/>
      <c r="FJ198" s="40"/>
      <c r="FK198" s="40"/>
      <c r="FL198" s="40"/>
      <c r="FM198" s="40"/>
      <c r="FN198" s="40"/>
      <c r="FO198" s="40"/>
      <c r="FP198" s="40"/>
      <c r="FQ198" s="40"/>
      <c r="FR198" s="40"/>
      <c r="FS198" s="40"/>
      <c r="FT198" s="40"/>
      <c r="FU198" s="40"/>
      <c r="FV198" s="40"/>
      <c r="FW198" s="40"/>
      <c r="FX198" s="40"/>
      <c r="FY198" s="40"/>
      <c r="FZ198" s="40"/>
      <c r="GA198" s="40"/>
    </row>
    <row r="199" ht="15.75" customHeight="1">
      <c r="A199" s="20" t="s">
        <v>449</v>
      </c>
      <c r="B199" s="20"/>
      <c r="C199" s="22"/>
      <c r="D199" s="22"/>
      <c r="E199" s="22"/>
      <c r="F199" s="22"/>
      <c r="G199" s="22"/>
      <c r="H199" s="22"/>
      <c r="I199" s="22"/>
      <c r="J199" s="22"/>
      <c r="K199" s="23"/>
      <c r="L199" s="23"/>
      <c r="M199" s="23"/>
      <c r="N199" s="23"/>
      <c r="O199" s="22"/>
      <c r="P199" s="24"/>
      <c r="Q199" s="24" t="str">
        <f t="shared" si="1"/>
        <v>medium-grained, homogeneous, white marble</v>
      </c>
      <c r="R199" s="20" t="s">
        <v>205</v>
      </c>
      <c r="S199" s="20" t="s">
        <v>189</v>
      </c>
      <c r="T199" s="20" t="s">
        <v>194</v>
      </c>
      <c r="U199" s="20" t="s">
        <v>195</v>
      </c>
      <c r="V199" s="22"/>
      <c r="W199" s="20" t="s">
        <v>166</v>
      </c>
      <c r="X199" s="20">
        <v>2.3</v>
      </c>
      <c r="Y199" s="20" t="s">
        <v>183</v>
      </c>
      <c r="Z199" s="20" t="s">
        <v>198</v>
      </c>
      <c r="AE199" s="110"/>
      <c r="AM199" s="22"/>
      <c r="AN199" s="22"/>
      <c r="AO199" s="43">
        <f t="shared" si="11"/>
        <v>0</v>
      </c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V199" s="33" t="s">
        <v>164</v>
      </c>
      <c r="CW199" s="47"/>
      <c r="CX199" s="47"/>
      <c r="CY199" s="47"/>
      <c r="DJ199" s="33"/>
      <c r="DK199" s="33"/>
      <c r="DL199" s="33"/>
      <c r="DM199" s="33"/>
      <c r="DN199" s="33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  <c r="ED199" s="33"/>
      <c r="EE199" s="33"/>
      <c r="EF199" s="33"/>
      <c r="EG199" s="33"/>
      <c r="EH199" s="33"/>
      <c r="EI199" s="33"/>
      <c r="EJ199" s="33"/>
      <c r="EK199" s="33"/>
      <c r="EL199" s="33"/>
      <c r="EM199" s="33"/>
      <c r="EN199" s="33"/>
      <c r="EO199" s="33"/>
      <c r="EP199" s="33"/>
      <c r="EQ199" s="33"/>
      <c r="ER199" s="33"/>
      <c r="ES199" s="33"/>
      <c r="ET199" s="33"/>
      <c r="EU199" s="33"/>
      <c r="EV199" s="33"/>
      <c r="EW199" s="33"/>
      <c r="EX199" s="33"/>
      <c r="EY199" s="33"/>
      <c r="EZ199" s="33"/>
      <c r="FA199" s="40"/>
      <c r="FB199" s="40"/>
      <c r="FC199" s="40"/>
      <c r="FD199" s="40"/>
      <c r="FE199" s="40"/>
      <c r="FF199" s="40"/>
      <c r="FG199" s="40"/>
      <c r="FH199" s="40"/>
      <c r="FI199" s="40"/>
      <c r="FJ199" s="40"/>
      <c r="FK199" s="40"/>
      <c r="FL199" s="40"/>
      <c r="FM199" s="40"/>
      <c r="FN199" s="40"/>
      <c r="FO199" s="40"/>
      <c r="FP199" s="40"/>
      <c r="FQ199" s="40"/>
      <c r="FR199" s="40"/>
      <c r="FS199" s="40"/>
      <c r="FT199" s="40"/>
      <c r="FU199" s="40"/>
      <c r="FV199" s="40"/>
      <c r="FW199" s="40"/>
      <c r="FX199" s="40"/>
      <c r="FY199" s="40"/>
      <c r="FZ199" s="40"/>
      <c r="GA199" s="40"/>
    </row>
    <row r="200" ht="15.75" customHeight="1">
      <c r="A200" s="20" t="s">
        <v>450</v>
      </c>
      <c r="B200" s="20"/>
      <c r="C200" s="22"/>
      <c r="D200" s="22"/>
      <c r="E200" s="22"/>
      <c r="F200" s="22"/>
      <c r="G200" s="22"/>
      <c r="H200" s="22"/>
      <c r="I200" s="22"/>
      <c r="J200" s="22"/>
      <c r="K200" s="23"/>
      <c r="L200" s="23"/>
      <c r="M200" s="23"/>
      <c r="N200" s="23"/>
      <c r="O200" s="22"/>
      <c r="P200" s="24"/>
      <c r="Q200" s="24" t="str">
        <f t="shared" si="1"/>
        <v>very fine-grained, homogeneous, white marble</v>
      </c>
      <c r="R200" s="20" t="s">
        <v>188</v>
      </c>
      <c r="S200" s="20" t="s">
        <v>189</v>
      </c>
      <c r="T200" s="20" t="s">
        <v>194</v>
      </c>
      <c r="U200" s="20" t="s">
        <v>195</v>
      </c>
      <c r="V200" s="22"/>
      <c r="W200" s="20" t="s">
        <v>166</v>
      </c>
      <c r="X200" s="20">
        <v>0.5</v>
      </c>
      <c r="Y200" s="20" t="s">
        <v>191</v>
      </c>
      <c r="Z200" s="20" t="s">
        <v>198</v>
      </c>
      <c r="AE200" s="110"/>
      <c r="AM200" s="22"/>
      <c r="AN200" s="22"/>
      <c r="AO200" s="43">
        <f t="shared" si="11"/>
        <v>0</v>
      </c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V200" s="33" t="s">
        <v>164</v>
      </c>
      <c r="CW200" s="103"/>
      <c r="CX200" s="47"/>
      <c r="CY200" s="47"/>
      <c r="DJ200" s="134"/>
      <c r="DK200" s="63"/>
      <c r="DL200" s="63"/>
      <c r="DM200" s="63"/>
      <c r="DN200" s="63"/>
      <c r="DO200" s="63"/>
      <c r="DP200" s="63"/>
      <c r="DQ200" s="63"/>
      <c r="DR200" s="63"/>
      <c r="DS200" s="63"/>
      <c r="DT200" s="63"/>
      <c r="DU200" s="63"/>
      <c r="DV200" s="63"/>
      <c r="DW200" s="63"/>
      <c r="DX200" s="63"/>
      <c r="DY200" s="63"/>
      <c r="DZ200" s="63"/>
      <c r="EA200" s="63"/>
      <c r="EB200" s="63"/>
      <c r="EC200" s="63"/>
      <c r="ED200" s="63"/>
      <c r="EE200" s="63"/>
      <c r="EF200" s="63"/>
      <c r="EG200" s="63"/>
      <c r="EH200" s="63"/>
      <c r="EI200" s="63"/>
      <c r="EJ200" s="63"/>
      <c r="EK200" s="63"/>
      <c r="EL200" s="63"/>
      <c r="EM200" s="63"/>
      <c r="EN200" s="63"/>
      <c r="EO200" s="63"/>
      <c r="EP200" s="63"/>
      <c r="EQ200" s="63"/>
      <c r="ER200" s="63"/>
      <c r="ES200" s="63"/>
      <c r="ET200" s="63"/>
      <c r="EU200" s="63"/>
      <c r="EV200" s="63"/>
      <c r="EW200" s="63"/>
      <c r="EX200" s="63"/>
      <c r="EY200" s="63"/>
      <c r="EZ200" s="33"/>
      <c r="FA200" s="40"/>
      <c r="FB200" s="40"/>
      <c r="FC200" s="40"/>
      <c r="FD200" s="40"/>
      <c r="FE200" s="40"/>
      <c r="FF200" s="40"/>
      <c r="FG200" s="40"/>
      <c r="FH200" s="40"/>
      <c r="FI200" s="40"/>
      <c r="FJ200" s="40"/>
      <c r="FK200" s="40"/>
      <c r="FL200" s="40"/>
      <c r="FM200" s="40"/>
      <c r="FN200" s="40"/>
      <c r="FO200" s="40"/>
      <c r="FP200" s="40"/>
      <c r="FQ200" s="40"/>
      <c r="FR200" s="40"/>
      <c r="FS200" s="40"/>
      <c r="FT200" s="40"/>
      <c r="FU200" s="40"/>
      <c r="FV200" s="40"/>
      <c r="FW200" s="40"/>
      <c r="FX200" s="40"/>
      <c r="FY200" s="40"/>
      <c r="FZ200" s="40"/>
      <c r="GA200" s="40"/>
    </row>
    <row r="201" ht="15.75" customHeight="1">
      <c r="A201" s="20" t="s">
        <v>451</v>
      </c>
      <c r="B201" s="20"/>
      <c r="C201" s="22"/>
      <c r="D201" s="22"/>
      <c r="E201" s="22"/>
      <c r="F201" s="22"/>
      <c r="G201" s="22"/>
      <c r="H201" s="22"/>
      <c r="I201" s="22"/>
      <c r="J201" s="22"/>
      <c r="K201" s="23"/>
      <c r="L201" s="23"/>
      <c r="M201" s="23"/>
      <c r="N201" s="23"/>
      <c r="O201" s="22"/>
      <c r="P201" s="24"/>
      <c r="Q201" s="24" t="str">
        <f t="shared" si="1"/>
        <v>very fine-grained, homogeneous, white marble</v>
      </c>
      <c r="R201" s="20" t="s">
        <v>188</v>
      </c>
      <c r="S201" s="20" t="s">
        <v>189</v>
      </c>
      <c r="T201" s="20" t="s">
        <v>194</v>
      </c>
      <c r="U201" s="20" t="s">
        <v>195</v>
      </c>
      <c r="V201" s="22"/>
      <c r="W201" s="20" t="s">
        <v>166</v>
      </c>
      <c r="X201" s="20">
        <v>0.4</v>
      </c>
      <c r="Y201" s="20" t="s">
        <v>209</v>
      </c>
      <c r="Z201" s="20" t="s">
        <v>452</v>
      </c>
      <c r="AE201" s="110"/>
      <c r="AM201" s="22"/>
      <c r="AN201" s="22"/>
      <c r="AO201" s="43">
        <f t="shared" si="11"/>
        <v>0</v>
      </c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V201" s="33" t="s">
        <v>164</v>
      </c>
      <c r="CW201" s="104"/>
      <c r="CX201" s="47"/>
      <c r="CY201" s="47"/>
      <c r="DJ201" s="33"/>
      <c r="DK201" s="33"/>
      <c r="DL201" s="33"/>
      <c r="DM201" s="33"/>
      <c r="DN201" s="33"/>
      <c r="DO201" s="33"/>
      <c r="DP201" s="33"/>
      <c r="DQ201" s="33"/>
      <c r="DR201" s="33"/>
      <c r="DS201" s="33"/>
      <c r="DT201" s="33"/>
      <c r="DU201" s="33"/>
      <c r="DV201" s="33"/>
      <c r="DW201" s="33"/>
      <c r="DX201" s="33"/>
      <c r="DY201" s="33"/>
      <c r="DZ201" s="33"/>
      <c r="EA201" s="33"/>
      <c r="EB201" s="33"/>
      <c r="EC201" s="33"/>
      <c r="ED201" s="33"/>
      <c r="EE201" s="33"/>
      <c r="EF201" s="33"/>
      <c r="EG201" s="33"/>
      <c r="EH201" s="33"/>
      <c r="EI201" s="33"/>
      <c r="EJ201" s="33"/>
      <c r="EK201" s="33"/>
      <c r="EL201" s="33"/>
      <c r="EM201" s="33"/>
      <c r="EN201" s="33"/>
      <c r="EO201" s="33"/>
      <c r="EP201" s="33"/>
      <c r="EQ201" s="33"/>
      <c r="ER201" s="33"/>
      <c r="ES201" s="33"/>
      <c r="ET201" s="33"/>
      <c r="EU201" s="33"/>
      <c r="EV201" s="33"/>
      <c r="EW201" s="33"/>
      <c r="EX201" s="33"/>
      <c r="EY201" s="33"/>
      <c r="EZ201" s="33"/>
      <c r="FA201" s="40"/>
      <c r="FB201" s="40"/>
      <c r="FC201" s="40"/>
      <c r="FD201" s="40"/>
      <c r="FE201" s="40"/>
      <c r="FF201" s="40"/>
      <c r="FG201" s="40"/>
      <c r="FH201" s="40"/>
      <c r="FI201" s="40"/>
      <c r="FJ201" s="40"/>
      <c r="FK201" s="40"/>
      <c r="FL201" s="40"/>
      <c r="FM201" s="40"/>
      <c r="FN201" s="40"/>
      <c r="FO201" s="40"/>
      <c r="FP201" s="40"/>
      <c r="FQ201" s="40"/>
      <c r="FR201" s="40"/>
      <c r="FS201" s="40"/>
      <c r="FT201" s="40"/>
      <c r="FU201" s="40"/>
      <c r="FV201" s="40"/>
      <c r="FW201" s="40"/>
      <c r="FX201" s="40"/>
      <c r="FY201" s="40"/>
      <c r="FZ201" s="40"/>
      <c r="GA201" s="40"/>
    </row>
    <row r="202" ht="15.75" customHeight="1">
      <c r="A202" s="20" t="s">
        <v>453</v>
      </c>
      <c r="B202" s="20"/>
      <c r="C202" s="22"/>
      <c r="D202" s="22"/>
      <c r="E202" s="22"/>
      <c r="F202" s="22"/>
      <c r="G202" s="22"/>
      <c r="H202" s="22"/>
      <c r="I202" s="22"/>
      <c r="J202" s="22"/>
      <c r="K202" s="23"/>
      <c r="L202" s="23"/>
      <c r="M202" s="23"/>
      <c r="N202" s="23"/>
      <c r="O202" s="22"/>
      <c r="P202" s="24"/>
      <c r="Q202" s="24" t="str">
        <f t="shared" si="1"/>
        <v>very fine-grained, homogeneous, white marble</v>
      </c>
      <c r="R202" s="20" t="s">
        <v>188</v>
      </c>
      <c r="S202" s="20" t="s">
        <v>189</v>
      </c>
      <c r="T202" s="20" t="s">
        <v>194</v>
      </c>
      <c r="U202" s="20" t="s">
        <v>195</v>
      </c>
      <c r="V202" s="22"/>
      <c r="W202" s="20" t="s">
        <v>166</v>
      </c>
      <c r="X202" s="20">
        <v>0.6</v>
      </c>
      <c r="Y202" s="20" t="s">
        <v>196</v>
      </c>
      <c r="Z202" s="20" t="s">
        <v>184</v>
      </c>
      <c r="AE202" s="110"/>
      <c r="AM202" s="22"/>
      <c r="AN202" s="22"/>
      <c r="AO202" s="43">
        <f t="shared" si="11"/>
        <v>0</v>
      </c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V202" s="33" t="s">
        <v>164</v>
      </c>
      <c r="CW202" s="116"/>
      <c r="CX202" s="47"/>
      <c r="CY202" s="47"/>
      <c r="DJ202" s="33"/>
      <c r="DK202" s="33"/>
      <c r="DL202" s="33"/>
      <c r="DM202" s="33"/>
      <c r="DN202" s="33"/>
      <c r="DO202" s="33"/>
      <c r="DP202" s="33"/>
      <c r="DQ202" s="33"/>
      <c r="DR202" s="33"/>
      <c r="DS202" s="33"/>
      <c r="DT202" s="33"/>
      <c r="DU202" s="33"/>
      <c r="DV202" s="33"/>
      <c r="DW202" s="33"/>
      <c r="DX202" s="33"/>
      <c r="DY202" s="33"/>
      <c r="DZ202" s="33"/>
      <c r="EA202" s="33"/>
      <c r="EB202" s="33"/>
      <c r="EC202" s="33"/>
      <c r="ED202" s="33"/>
      <c r="EE202" s="33"/>
      <c r="EF202" s="33"/>
      <c r="EG202" s="33"/>
      <c r="EH202" s="33"/>
      <c r="EI202" s="33"/>
      <c r="EJ202" s="33"/>
      <c r="EK202" s="33"/>
      <c r="EL202" s="33"/>
      <c r="EM202" s="33"/>
      <c r="EN202" s="33"/>
      <c r="EO202" s="33"/>
      <c r="EP202" s="33"/>
      <c r="EQ202" s="33"/>
      <c r="ER202" s="33"/>
      <c r="ES202" s="33"/>
      <c r="ET202" s="33"/>
      <c r="EU202" s="33"/>
      <c r="EV202" s="33"/>
      <c r="EW202" s="33"/>
      <c r="EX202" s="33"/>
      <c r="EY202" s="33"/>
      <c r="EZ202" s="33"/>
      <c r="FA202" s="40"/>
      <c r="FB202" s="40"/>
      <c r="FC202" s="40"/>
      <c r="FD202" s="40"/>
      <c r="FE202" s="40"/>
      <c r="FF202" s="40"/>
      <c r="FG202" s="40"/>
      <c r="FH202" s="40"/>
      <c r="FI202" s="40"/>
      <c r="FJ202" s="40"/>
      <c r="FK202" s="40"/>
      <c r="FL202" s="40"/>
      <c r="FM202" s="40"/>
      <c r="FN202" s="40"/>
      <c r="FO202" s="40"/>
      <c r="FP202" s="40"/>
      <c r="FQ202" s="40"/>
      <c r="FR202" s="40"/>
      <c r="FS202" s="40"/>
      <c r="FT202" s="40"/>
      <c r="FU202" s="40"/>
      <c r="FV202" s="40"/>
      <c r="FW202" s="40"/>
      <c r="FX202" s="40"/>
      <c r="FY202" s="40"/>
      <c r="FZ202" s="40"/>
      <c r="GA202" s="40"/>
    </row>
    <row r="203" ht="15.75" customHeight="1">
      <c r="A203" s="20" t="s">
        <v>454</v>
      </c>
      <c r="B203" s="20"/>
      <c r="C203" s="22"/>
      <c r="D203" s="22"/>
      <c r="E203" s="22"/>
      <c r="F203" s="22"/>
      <c r="G203" s="22"/>
      <c r="H203" s="22"/>
      <c r="I203" s="22"/>
      <c r="J203" s="22"/>
      <c r="K203" s="23"/>
      <c r="L203" s="23"/>
      <c r="M203" s="23"/>
      <c r="N203" s="23"/>
      <c r="O203" s="22"/>
      <c r="P203" s="24"/>
      <c r="Q203" s="24" t="str">
        <f t="shared" si="1"/>
        <v>very fine-grained, homogeneous, white marble</v>
      </c>
      <c r="R203" s="20" t="s">
        <v>188</v>
      </c>
      <c r="S203" s="20" t="s">
        <v>189</v>
      </c>
      <c r="T203" s="20" t="s">
        <v>194</v>
      </c>
      <c r="U203" s="20" t="s">
        <v>195</v>
      </c>
      <c r="V203" s="22"/>
      <c r="W203" s="20" t="s">
        <v>166</v>
      </c>
      <c r="X203" s="20">
        <v>0.6</v>
      </c>
      <c r="Y203" s="20" t="s">
        <v>196</v>
      </c>
      <c r="Z203" s="20" t="s">
        <v>184</v>
      </c>
      <c r="AE203" s="110"/>
      <c r="AM203" s="22"/>
      <c r="AN203" s="22"/>
      <c r="AO203" s="43">
        <f t="shared" si="11"/>
        <v>0</v>
      </c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V203" s="33" t="s">
        <v>164</v>
      </c>
      <c r="CW203" s="116"/>
      <c r="CX203" s="47"/>
      <c r="CY203" s="47"/>
      <c r="DJ203" s="134"/>
      <c r="DK203" s="63"/>
      <c r="DL203" s="63"/>
      <c r="DM203" s="63"/>
      <c r="DN203" s="63"/>
      <c r="DO203" s="63"/>
      <c r="DP203" s="63"/>
      <c r="DQ203" s="63"/>
      <c r="DR203" s="63"/>
      <c r="DS203" s="63"/>
      <c r="DT203" s="63"/>
      <c r="DU203" s="63"/>
      <c r="DV203" s="63"/>
      <c r="DW203" s="63"/>
      <c r="DX203" s="63"/>
      <c r="DY203" s="63"/>
      <c r="DZ203" s="63"/>
      <c r="EA203" s="63"/>
      <c r="EB203" s="63"/>
      <c r="EC203" s="63"/>
      <c r="ED203" s="63"/>
      <c r="EE203" s="63"/>
      <c r="EF203" s="63"/>
      <c r="EG203" s="63"/>
      <c r="EH203" s="63"/>
      <c r="EI203" s="63"/>
      <c r="EJ203" s="63"/>
      <c r="EK203" s="63"/>
      <c r="EL203" s="63"/>
      <c r="EM203" s="63"/>
      <c r="EN203" s="63"/>
      <c r="EO203" s="63"/>
      <c r="EP203" s="63"/>
      <c r="EQ203" s="63"/>
      <c r="ER203" s="63"/>
      <c r="ES203" s="63"/>
      <c r="ET203" s="63"/>
      <c r="EU203" s="63"/>
      <c r="EV203" s="63"/>
      <c r="EW203" s="63"/>
      <c r="EX203" s="63"/>
      <c r="EY203" s="63"/>
      <c r="EZ203" s="33"/>
      <c r="FA203" s="40"/>
      <c r="FB203" s="40"/>
      <c r="FC203" s="40"/>
      <c r="FD203" s="40"/>
      <c r="FE203" s="40"/>
      <c r="FF203" s="40"/>
      <c r="FG203" s="40"/>
      <c r="FH203" s="40"/>
      <c r="FI203" s="40"/>
      <c r="FJ203" s="40"/>
      <c r="FK203" s="40"/>
      <c r="FL203" s="40"/>
      <c r="FM203" s="40"/>
      <c r="FN203" s="40"/>
      <c r="FO203" s="40"/>
      <c r="FP203" s="40"/>
      <c r="FQ203" s="40"/>
      <c r="FR203" s="40"/>
      <c r="FS203" s="40"/>
      <c r="FT203" s="40"/>
      <c r="FU203" s="40"/>
      <c r="FV203" s="40"/>
      <c r="FW203" s="40"/>
      <c r="FX203" s="40"/>
      <c r="FY203" s="40"/>
      <c r="FZ203" s="40"/>
      <c r="GA203" s="40"/>
    </row>
    <row r="204" ht="15.75" customHeight="1">
      <c r="A204" s="20" t="s">
        <v>455</v>
      </c>
      <c r="B204" s="20"/>
      <c r="C204" s="22"/>
      <c r="D204" s="22"/>
      <c r="E204" s="22"/>
      <c r="F204" s="22"/>
      <c r="G204" s="22"/>
      <c r="H204" s="22"/>
      <c r="I204" s="22"/>
      <c r="J204" s="22"/>
      <c r="K204" s="23"/>
      <c r="L204" s="23"/>
      <c r="M204" s="23"/>
      <c r="N204" s="23"/>
      <c r="O204" s="22"/>
      <c r="P204" s="24"/>
      <c r="Q204" s="24" t="str">
        <f t="shared" si="1"/>
        <v>very fine-grained, veined, white marble</v>
      </c>
      <c r="R204" s="20" t="s">
        <v>188</v>
      </c>
      <c r="S204" s="20" t="s">
        <v>189</v>
      </c>
      <c r="T204" s="20" t="s">
        <v>206</v>
      </c>
      <c r="U204" s="20" t="s">
        <v>181</v>
      </c>
      <c r="V204" s="22"/>
      <c r="W204" s="20" t="s">
        <v>166</v>
      </c>
      <c r="X204" s="20">
        <v>0.6</v>
      </c>
      <c r="Y204" s="20" t="s">
        <v>191</v>
      </c>
      <c r="Z204" s="20" t="s">
        <v>184</v>
      </c>
      <c r="AE204" s="110"/>
      <c r="AM204" s="22"/>
      <c r="AN204" s="22"/>
      <c r="AO204" s="43">
        <f t="shared" si="11"/>
        <v>0</v>
      </c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V204" s="33" t="s">
        <v>164</v>
      </c>
      <c r="CW204" s="116"/>
      <c r="CX204" s="47"/>
      <c r="CY204" s="47"/>
      <c r="DJ204" s="134"/>
      <c r="DK204" s="63"/>
      <c r="DL204" s="63"/>
      <c r="DM204" s="63"/>
      <c r="DN204" s="63"/>
      <c r="DO204" s="63"/>
      <c r="DP204" s="63"/>
      <c r="DQ204" s="63"/>
      <c r="DR204" s="63"/>
      <c r="DS204" s="63"/>
      <c r="DT204" s="63"/>
      <c r="DU204" s="63"/>
      <c r="DV204" s="63"/>
      <c r="DW204" s="63"/>
      <c r="DX204" s="63"/>
      <c r="DY204" s="63"/>
      <c r="DZ204" s="63"/>
      <c r="EA204" s="63"/>
      <c r="EB204" s="63"/>
      <c r="EC204" s="63"/>
      <c r="ED204" s="63"/>
      <c r="EE204" s="63"/>
      <c r="EF204" s="63"/>
      <c r="EG204" s="63"/>
      <c r="EH204" s="63"/>
      <c r="EI204" s="63"/>
      <c r="EJ204" s="63"/>
      <c r="EK204" s="63"/>
      <c r="EL204" s="63"/>
      <c r="EM204" s="63"/>
      <c r="EN204" s="63"/>
      <c r="EO204" s="63"/>
      <c r="EP204" s="63"/>
      <c r="EQ204" s="63"/>
      <c r="ER204" s="63"/>
      <c r="ES204" s="63"/>
      <c r="ET204" s="63"/>
      <c r="EU204" s="63"/>
      <c r="EV204" s="63"/>
      <c r="EW204" s="63"/>
      <c r="EX204" s="63"/>
      <c r="EY204" s="63"/>
      <c r="EZ204" s="33"/>
      <c r="FA204" s="40"/>
      <c r="FB204" s="40"/>
      <c r="FC204" s="40"/>
      <c r="FD204" s="40"/>
      <c r="FE204" s="40"/>
      <c r="FF204" s="40"/>
      <c r="FG204" s="40"/>
      <c r="FH204" s="40"/>
      <c r="FI204" s="40"/>
      <c r="FJ204" s="40"/>
      <c r="FK204" s="40"/>
      <c r="FL204" s="40"/>
      <c r="FM204" s="40"/>
      <c r="FN204" s="40"/>
      <c r="FO204" s="40"/>
      <c r="FP204" s="40"/>
      <c r="FQ204" s="40"/>
      <c r="FR204" s="40"/>
      <c r="FS204" s="40"/>
      <c r="FT204" s="40"/>
      <c r="FU204" s="40"/>
      <c r="FV204" s="40"/>
      <c r="FW204" s="40"/>
      <c r="FX204" s="40"/>
      <c r="FY204" s="40"/>
      <c r="FZ204" s="40"/>
      <c r="GA204" s="40"/>
    </row>
    <row r="205" ht="15.75" customHeight="1">
      <c r="A205" s="20" t="s">
        <v>456</v>
      </c>
      <c r="B205" s="20"/>
      <c r="C205" s="22"/>
      <c r="D205" s="22"/>
      <c r="E205" s="22"/>
      <c r="F205" s="22"/>
      <c r="G205" s="22"/>
      <c r="H205" s="22"/>
      <c r="I205" s="22"/>
      <c r="J205" s="22"/>
      <c r="K205" s="23"/>
      <c r="L205" s="23"/>
      <c r="M205" s="23"/>
      <c r="N205" s="23"/>
      <c r="O205" s="22"/>
      <c r="P205" s="24"/>
      <c r="Q205" s="24" t="str">
        <f t="shared" si="1"/>
        <v>very fine-grained, homogeneous, white marble</v>
      </c>
      <c r="R205" s="20" t="s">
        <v>188</v>
      </c>
      <c r="S205" s="20" t="s">
        <v>189</v>
      </c>
      <c r="T205" s="20" t="s">
        <v>194</v>
      </c>
      <c r="U205" s="20" t="s">
        <v>195</v>
      </c>
      <c r="V205" s="22"/>
      <c r="W205" s="20" t="s">
        <v>166</v>
      </c>
      <c r="X205" s="20">
        <v>0.8</v>
      </c>
      <c r="Y205" s="20" t="s">
        <v>209</v>
      </c>
      <c r="Z205" s="20" t="s">
        <v>213</v>
      </c>
      <c r="AE205" s="110"/>
      <c r="AM205" s="22"/>
      <c r="AN205" s="22"/>
      <c r="AO205" s="43">
        <f t="shared" si="11"/>
        <v>0</v>
      </c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V205" s="33" t="s">
        <v>164</v>
      </c>
      <c r="CW205" s="116"/>
      <c r="CX205" s="47"/>
      <c r="CY205" s="47"/>
      <c r="DJ205" s="134"/>
      <c r="DK205" s="63"/>
      <c r="DL205" s="63"/>
      <c r="DM205" s="63"/>
      <c r="DN205" s="63"/>
      <c r="DO205" s="63"/>
      <c r="DP205" s="63"/>
      <c r="DQ205" s="63"/>
      <c r="DR205" s="63"/>
      <c r="DS205" s="63"/>
      <c r="DT205" s="63"/>
      <c r="DU205" s="63"/>
      <c r="DV205" s="63"/>
      <c r="DW205" s="63"/>
      <c r="DX205" s="63"/>
      <c r="DY205" s="63"/>
      <c r="DZ205" s="63"/>
      <c r="EA205" s="63"/>
      <c r="EB205" s="63"/>
      <c r="EC205" s="63"/>
      <c r="ED205" s="63"/>
      <c r="EE205" s="63"/>
      <c r="EF205" s="63"/>
      <c r="EG205" s="63"/>
      <c r="EH205" s="63"/>
      <c r="EI205" s="63"/>
      <c r="EJ205" s="63"/>
      <c r="EK205" s="63"/>
      <c r="EL205" s="63"/>
      <c r="EM205" s="63"/>
      <c r="EN205" s="63"/>
      <c r="EO205" s="63"/>
      <c r="EP205" s="63"/>
      <c r="EQ205" s="63"/>
      <c r="ER205" s="63"/>
      <c r="ES205" s="63"/>
      <c r="ET205" s="63"/>
      <c r="EU205" s="63"/>
      <c r="EV205" s="63"/>
      <c r="EW205" s="63"/>
      <c r="EX205" s="63"/>
      <c r="EY205" s="63"/>
      <c r="EZ205" s="33"/>
      <c r="FA205" s="40"/>
      <c r="FB205" s="40"/>
      <c r="FC205" s="40"/>
      <c r="FD205" s="40"/>
      <c r="FE205" s="40"/>
      <c r="FF205" s="40"/>
      <c r="FG205" s="40"/>
      <c r="FH205" s="40"/>
      <c r="FI205" s="40"/>
      <c r="FJ205" s="40"/>
      <c r="FK205" s="40"/>
      <c r="FL205" s="40"/>
      <c r="FM205" s="40"/>
      <c r="FN205" s="40"/>
      <c r="FO205" s="40"/>
      <c r="FP205" s="40"/>
      <c r="FQ205" s="40"/>
      <c r="FR205" s="40"/>
      <c r="FS205" s="40"/>
      <c r="FT205" s="40"/>
      <c r="FU205" s="40"/>
      <c r="FV205" s="40"/>
      <c r="FW205" s="40"/>
      <c r="FX205" s="40"/>
      <c r="FY205" s="40"/>
      <c r="FZ205" s="40"/>
      <c r="GA205" s="40"/>
    </row>
    <row r="206" ht="15.75" customHeight="1">
      <c r="A206" s="20" t="s">
        <v>457</v>
      </c>
      <c r="B206" s="20"/>
      <c r="C206" s="22"/>
      <c r="D206" s="22"/>
      <c r="E206" s="22"/>
      <c r="F206" s="22"/>
      <c r="G206" s="22"/>
      <c r="H206" s="22"/>
      <c r="I206" s="22"/>
      <c r="J206" s="22"/>
      <c r="K206" s="23"/>
      <c r="L206" s="23"/>
      <c r="M206" s="23"/>
      <c r="N206" s="23"/>
      <c r="O206" s="22"/>
      <c r="P206" s="24"/>
      <c r="Q206" s="24" t="str">
        <f t="shared" si="1"/>
        <v>fine-grained, homogeneous, white marble</v>
      </c>
      <c r="R206" s="20" t="s">
        <v>180</v>
      </c>
      <c r="S206" s="20" t="s">
        <v>189</v>
      </c>
      <c r="T206" s="20" t="s">
        <v>194</v>
      </c>
      <c r="U206" s="20" t="s">
        <v>195</v>
      </c>
      <c r="V206" s="22"/>
      <c r="W206" s="20" t="s">
        <v>166</v>
      </c>
      <c r="X206" s="20">
        <v>1.6</v>
      </c>
      <c r="Y206" s="20" t="s">
        <v>191</v>
      </c>
      <c r="Z206" s="20" t="s">
        <v>198</v>
      </c>
      <c r="AE206" s="110"/>
      <c r="AM206" s="22"/>
      <c r="AN206" s="22"/>
      <c r="AO206" s="43">
        <f t="shared" si="11"/>
        <v>0</v>
      </c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V206" s="33" t="s">
        <v>164</v>
      </c>
      <c r="CW206" s="116"/>
      <c r="CX206" s="47"/>
      <c r="CY206" s="47"/>
      <c r="DJ206" s="134"/>
      <c r="DK206" s="63"/>
      <c r="DL206" s="63"/>
      <c r="DM206" s="63"/>
      <c r="DN206" s="63"/>
      <c r="DO206" s="63"/>
      <c r="DP206" s="63"/>
      <c r="DQ206" s="63"/>
      <c r="DR206" s="63"/>
      <c r="DS206" s="63"/>
      <c r="DT206" s="63"/>
      <c r="DU206" s="63"/>
      <c r="DV206" s="63"/>
      <c r="DW206" s="63"/>
      <c r="DX206" s="63"/>
      <c r="DY206" s="63"/>
      <c r="DZ206" s="63"/>
      <c r="EA206" s="63"/>
      <c r="EB206" s="63"/>
      <c r="EC206" s="63"/>
      <c r="ED206" s="63"/>
      <c r="EE206" s="63"/>
      <c r="EF206" s="63"/>
      <c r="EG206" s="63"/>
      <c r="EH206" s="63"/>
      <c r="EI206" s="63"/>
      <c r="EJ206" s="63"/>
      <c r="EK206" s="63"/>
      <c r="EL206" s="63"/>
      <c r="EM206" s="63"/>
      <c r="EN206" s="63"/>
      <c r="EO206" s="63"/>
      <c r="EP206" s="63"/>
      <c r="EQ206" s="63"/>
      <c r="ER206" s="63"/>
      <c r="ES206" s="63"/>
      <c r="ET206" s="63"/>
      <c r="EU206" s="63"/>
      <c r="EV206" s="63"/>
      <c r="EW206" s="63"/>
      <c r="EX206" s="63"/>
      <c r="EY206" s="63"/>
      <c r="EZ206" s="33"/>
      <c r="FA206" s="40"/>
      <c r="FB206" s="40"/>
      <c r="FC206" s="40"/>
      <c r="FD206" s="40"/>
      <c r="FE206" s="40"/>
      <c r="FF206" s="40"/>
      <c r="FG206" s="40"/>
      <c r="FH206" s="40"/>
      <c r="FI206" s="40"/>
      <c r="FJ206" s="40"/>
      <c r="FK206" s="40"/>
      <c r="FL206" s="40"/>
      <c r="FM206" s="40"/>
      <c r="FN206" s="40"/>
      <c r="FO206" s="40"/>
      <c r="FP206" s="40"/>
      <c r="FQ206" s="40"/>
      <c r="FR206" s="40"/>
      <c r="FS206" s="40"/>
      <c r="FT206" s="40"/>
      <c r="FU206" s="40"/>
      <c r="FV206" s="40"/>
      <c r="FW206" s="40"/>
      <c r="FX206" s="40"/>
      <c r="FY206" s="40"/>
      <c r="FZ206" s="40"/>
      <c r="GA206" s="40"/>
    </row>
    <row r="207" ht="15.75" customHeight="1">
      <c r="A207" s="20" t="s">
        <v>458</v>
      </c>
      <c r="B207" s="20"/>
      <c r="C207" s="22"/>
      <c r="D207" s="22"/>
      <c r="E207" s="22"/>
      <c r="F207" s="22"/>
      <c r="G207" s="22"/>
      <c r="H207" s="22"/>
      <c r="I207" s="22"/>
      <c r="J207" s="22"/>
      <c r="K207" s="48" t="s">
        <v>203</v>
      </c>
      <c r="L207" s="23"/>
      <c r="M207" s="23"/>
      <c r="N207" s="23"/>
      <c r="O207" s="22" t="s">
        <v>164</v>
      </c>
      <c r="P207" s="76" t="s">
        <v>459</v>
      </c>
      <c r="Q207" s="24" t="str">
        <f t="shared" si="1"/>
        <v>very fine-grained, homogeneous, white marble</v>
      </c>
      <c r="R207" s="20" t="s">
        <v>188</v>
      </c>
      <c r="S207" s="20" t="s">
        <v>189</v>
      </c>
      <c r="T207" s="20" t="s">
        <v>194</v>
      </c>
      <c r="U207" s="20" t="s">
        <v>195</v>
      </c>
      <c r="V207" s="20" t="s">
        <v>190</v>
      </c>
      <c r="W207" s="20" t="s">
        <v>166</v>
      </c>
      <c r="X207" s="20">
        <v>0.7</v>
      </c>
      <c r="Y207" s="20" t="s">
        <v>191</v>
      </c>
      <c r="Z207" s="20" t="s">
        <v>245</v>
      </c>
      <c r="AA207" s="33"/>
      <c r="AB207" s="50" t="s">
        <v>166</v>
      </c>
      <c r="AC207" s="50">
        <v>0.6</v>
      </c>
      <c r="AD207" s="86" t="s">
        <v>191</v>
      </c>
      <c r="AE207" s="36" t="s">
        <v>184</v>
      </c>
      <c r="AF207" s="50" t="s">
        <v>166</v>
      </c>
      <c r="AG207" s="50" t="s">
        <v>166</v>
      </c>
      <c r="AH207" s="33" t="s">
        <v>164</v>
      </c>
      <c r="AI207" s="33" t="s">
        <v>164</v>
      </c>
      <c r="AJ207" s="33" t="s">
        <v>164</v>
      </c>
      <c r="AK207" s="33" t="s">
        <v>164</v>
      </c>
      <c r="AL207" s="33" t="s">
        <v>164</v>
      </c>
      <c r="AM207" s="22"/>
      <c r="AN207" s="22"/>
      <c r="AO207" s="43">
        <f t="shared" si="11"/>
        <v>0</v>
      </c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 t="s">
        <v>164</v>
      </c>
      <c r="BF207" s="22" t="s">
        <v>164</v>
      </c>
      <c r="BG207" s="22" t="s">
        <v>164</v>
      </c>
      <c r="BH207" s="22" t="s">
        <v>164</v>
      </c>
      <c r="BI207" s="22"/>
      <c r="BJ207" s="22" t="s">
        <v>164</v>
      </c>
      <c r="BK207" s="22"/>
      <c r="BL207" s="22" t="s">
        <v>164</v>
      </c>
      <c r="BM207" s="22"/>
      <c r="BN207" s="22" t="s">
        <v>164</v>
      </c>
      <c r="BO207" s="22"/>
      <c r="BP207" s="22"/>
      <c r="BQ207" s="22"/>
      <c r="BR207" s="22" t="s">
        <v>164</v>
      </c>
      <c r="BS207" s="22"/>
      <c r="BT207" s="22" t="s">
        <v>164</v>
      </c>
      <c r="BU207" s="22"/>
      <c r="BV207" s="22"/>
      <c r="BW207" s="22"/>
      <c r="BX207" s="22" t="s">
        <v>164</v>
      </c>
      <c r="BY207" s="22"/>
      <c r="BZ207" s="22" t="s">
        <v>164</v>
      </c>
      <c r="CA207" s="22"/>
      <c r="CB207" s="22" t="s">
        <v>164</v>
      </c>
      <c r="CC207" s="22"/>
      <c r="CD207" s="22" t="s">
        <v>164</v>
      </c>
      <c r="CE207" s="33" t="s">
        <v>164</v>
      </c>
      <c r="CF207" s="33" t="s">
        <v>164</v>
      </c>
      <c r="CG207" s="33" t="s">
        <v>164</v>
      </c>
      <c r="CH207" s="33" t="s">
        <v>164</v>
      </c>
      <c r="CI207" s="33" t="s">
        <v>164</v>
      </c>
      <c r="CJ207" s="33" t="s">
        <v>164</v>
      </c>
      <c r="CK207" s="33" t="s">
        <v>164</v>
      </c>
      <c r="CL207" s="33" t="s">
        <v>164</v>
      </c>
      <c r="CM207" s="33" t="s">
        <v>164</v>
      </c>
      <c r="CN207" s="33" t="s">
        <v>164</v>
      </c>
      <c r="CO207" s="33" t="s">
        <v>164</v>
      </c>
      <c r="CP207" s="33" t="s">
        <v>164</v>
      </c>
      <c r="CQ207" s="33" t="s">
        <v>164</v>
      </c>
      <c r="CR207" s="33" t="s">
        <v>164</v>
      </c>
      <c r="CS207" s="33" t="s">
        <v>164</v>
      </c>
      <c r="CT207" s="33" t="s">
        <v>164</v>
      </c>
      <c r="CU207" s="33" t="s">
        <v>164</v>
      </c>
      <c r="CV207" s="33" t="s">
        <v>164</v>
      </c>
      <c r="CW207" s="140" t="s">
        <v>166</v>
      </c>
      <c r="CX207" s="38">
        <v>4.55</v>
      </c>
      <c r="CY207" s="38">
        <v>-2.95</v>
      </c>
      <c r="CZ207" s="50" t="s">
        <v>166</v>
      </c>
      <c r="DA207" s="33" t="s">
        <v>164</v>
      </c>
      <c r="DB207" s="33" t="s">
        <v>164</v>
      </c>
      <c r="DC207" s="33" t="s">
        <v>164</v>
      </c>
      <c r="DD207" s="33" t="s">
        <v>164</v>
      </c>
      <c r="DE207" s="33" t="s">
        <v>164</v>
      </c>
      <c r="DF207" s="33" t="s">
        <v>164</v>
      </c>
      <c r="DG207" s="33" t="s">
        <v>164</v>
      </c>
      <c r="DH207" s="33" t="s">
        <v>164</v>
      </c>
      <c r="DI207" s="33" t="s">
        <v>164</v>
      </c>
      <c r="DJ207" s="106" t="s">
        <v>166</v>
      </c>
      <c r="DK207" s="52">
        <v>4.03</v>
      </c>
      <c r="DL207" s="52">
        <v>224.26</v>
      </c>
      <c r="DM207" s="52">
        <v>411.97</v>
      </c>
      <c r="DN207" s="52">
        <v>6392.7</v>
      </c>
      <c r="DO207" s="52">
        <v>1.553349715</v>
      </c>
      <c r="DP207" s="52">
        <v>583.74</v>
      </c>
      <c r="DQ207" s="52">
        <v>15.97</v>
      </c>
      <c r="DR207" s="52">
        <v>27.67</v>
      </c>
      <c r="DS207" s="52">
        <v>13.62</v>
      </c>
      <c r="DT207" s="52">
        <v>65.23</v>
      </c>
      <c r="DU207" s="52">
        <v>1239.09</v>
      </c>
      <c r="DV207" s="52">
        <v>1.42</v>
      </c>
      <c r="DW207" s="52">
        <v>25.29</v>
      </c>
      <c r="DX207" s="52">
        <v>5.74</v>
      </c>
      <c r="DY207" s="52">
        <v>41.78</v>
      </c>
      <c r="DZ207" s="52">
        <v>0.53</v>
      </c>
      <c r="EA207" s="52">
        <v>1.1</v>
      </c>
      <c r="EB207" s="52">
        <v>4.47</v>
      </c>
      <c r="EC207" s="52">
        <v>1260.6</v>
      </c>
      <c r="ED207" s="52">
        <v>33.09</v>
      </c>
      <c r="EE207" s="52">
        <v>7.76</v>
      </c>
      <c r="EF207" s="52">
        <v>0.37</v>
      </c>
      <c r="EG207" s="52">
        <v>0.34</v>
      </c>
      <c r="EH207" s="52">
        <v>1.86</v>
      </c>
      <c r="EI207" s="52">
        <v>1.06</v>
      </c>
      <c r="EJ207" s="52">
        <v>0.28</v>
      </c>
      <c r="EK207" s="52">
        <v>14.76</v>
      </c>
      <c r="EL207" s="52">
        <v>9.87</v>
      </c>
      <c r="EM207" s="52">
        <v>4.39</v>
      </c>
      <c r="EN207" s="52">
        <v>9.5</v>
      </c>
      <c r="EO207" s="52">
        <v>1.86</v>
      </c>
      <c r="EP207" s="52">
        <v>0.57</v>
      </c>
      <c r="EQ207" s="52">
        <v>3.68</v>
      </c>
      <c r="ER207" s="52">
        <v>3.47</v>
      </c>
      <c r="ES207" s="52">
        <v>2.29</v>
      </c>
      <c r="ET207" s="52">
        <v>0.859374357</v>
      </c>
      <c r="EU207" s="52">
        <v>0.31</v>
      </c>
      <c r="EV207" s="52">
        <v>132.52</v>
      </c>
      <c r="EW207" s="52">
        <v>63.35</v>
      </c>
      <c r="EX207" s="52">
        <v>1038.87</v>
      </c>
      <c r="EY207" s="52">
        <v>0.89</v>
      </c>
      <c r="FA207" s="40"/>
      <c r="FB207" s="40"/>
      <c r="FC207" s="40"/>
      <c r="FD207" s="40"/>
      <c r="FE207" s="40"/>
      <c r="FF207" s="40"/>
      <c r="FG207" s="40"/>
      <c r="FH207" s="40"/>
      <c r="FI207" s="40"/>
      <c r="FJ207" s="40"/>
      <c r="FK207" s="40"/>
      <c r="FL207" s="40"/>
      <c r="FM207" s="40"/>
      <c r="FN207" s="40"/>
      <c r="FO207" s="40"/>
      <c r="FP207" s="40"/>
      <c r="FQ207" s="40"/>
      <c r="FR207" s="40"/>
      <c r="FS207" s="40"/>
      <c r="FT207" s="40"/>
      <c r="FU207" s="40"/>
      <c r="FV207" s="40"/>
      <c r="FW207" s="40"/>
      <c r="FX207" s="40"/>
      <c r="FY207" s="40"/>
      <c r="FZ207" s="40"/>
      <c r="GA207" s="40"/>
    </row>
    <row r="208" ht="15.75" customHeight="1">
      <c r="A208" s="20" t="s">
        <v>460</v>
      </c>
      <c r="B208" s="20"/>
      <c r="C208" s="22"/>
      <c r="D208" s="22"/>
      <c r="E208" s="22"/>
      <c r="F208" s="22"/>
      <c r="G208" s="22"/>
      <c r="H208" s="22"/>
      <c r="I208" s="22"/>
      <c r="J208" s="22"/>
      <c r="K208" s="48" t="s">
        <v>225</v>
      </c>
      <c r="L208" s="23"/>
      <c r="M208" s="23"/>
      <c r="N208" s="23"/>
      <c r="O208" s="22" t="s">
        <v>164</v>
      </c>
      <c r="P208" s="24"/>
      <c r="Q208" s="24" t="str">
        <f>CONCATENATE(R214, "-grained, ", T214, ", ", S214," marble")</f>
        <v>medium-grained, homogeneous, white marble</v>
      </c>
      <c r="R208" s="51" t="s">
        <v>188</v>
      </c>
      <c r="S208" s="51" t="s">
        <v>189</v>
      </c>
      <c r="T208" s="51" t="s">
        <v>216</v>
      </c>
      <c r="U208" s="51" t="s">
        <v>181</v>
      </c>
      <c r="V208" s="20" t="s">
        <v>190</v>
      </c>
      <c r="W208" s="20" t="s">
        <v>166</v>
      </c>
      <c r="X208" s="20">
        <v>0.3</v>
      </c>
      <c r="Y208" s="20" t="s">
        <v>196</v>
      </c>
      <c r="Z208" s="20" t="s">
        <v>245</v>
      </c>
      <c r="AA208" s="33"/>
      <c r="AB208" s="50" t="s">
        <v>190</v>
      </c>
      <c r="AC208" s="33" t="s">
        <v>164</v>
      </c>
      <c r="AD208" s="33" t="s">
        <v>164</v>
      </c>
      <c r="AE208" s="88"/>
      <c r="AF208" s="33" t="s">
        <v>164</v>
      </c>
      <c r="AG208" s="33" t="s">
        <v>164</v>
      </c>
      <c r="AH208" s="33" t="s">
        <v>164</v>
      </c>
      <c r="AI208" s="33" t="s">
        <v>164</v>
      </c>
      <c r="AJ208" s="33" t="s">
        <v>164</v>
      </c>
      <c r="AK208" s="33" t="s">
        <v>164</v>
      </c>
      <c r="AL208" s="33" t="s">
        <v>164</v>
      </c>
      <c r="AM208" s="22"/>
      <c r="AN208" s="22"/>
      <c r="AO208" s="43">
        <f t="shared" si="11"/>
        <v>0</v>
      </c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 t="s">
        <v>164</v>
      </c>
      <c r="BF208" s="22" t="s">
        <v>164</v>
      </c>
      <c r="BG208" s="22" t="s">
        <v>164</v>
      </c>
      <c r="BH208" s="22" t="s">
        <v>164</v>
      </c>
      <c r="BI208" s="22"/>
      <c r="BJ208" s="22" t="s">
        <v>164</v>
      </c>
      <c r="BK208" s="22"/>
      <c r="BL208" s="22" t="s">
        <v>164</v>
      </c>
      <c r="BM208" s="22"/>
      <c r="BN208" s="22" t="s">
        <v>164</v>
      </c>
      <c r="BO208" s="22"/>
      <c r="BP208" s="22"/>
      <c r="BQ208" s="22"/>
      <c r="BR208" s="22" t="s">
        <v>164</v>
      </c>
      <c r="BS208" s="22"/>
      <c r="BT208" s="22" t="s">
        <v>164</v>
      </c>
      <c r="BU208" s="22"/>
      <c r="BV208" s="22"/>
      <c r="BW208" s="22"/>
      <c r="BX208" s="22" t="s">
        <v>164</v>
      </c>
      <c r="BY208" s="22"/>
      <c r="BZ208" s="22" t="s">
        <v>164</v>
      </c>
      <c r="CA208" s="22"/>
      <c r="CB208" s="22" t="s">
        <v>164</v>
      </c>
      <c r="CC208" s="22"/>
      <c r="CD208" s="22" t="s">
        <v>164</v>
      </c>
      <c r="CE208" s="33" t="s">
        <v>164</v>
      </c>
      <c r="CF208" s="33" t="s">
        <v>164</v>
      </c>
      <c r="CG208" s="33" t="s">
        <v>164</v>
      </c>
      <c r="CH208" s="33" t="s">
        <v>164</v>
      </c>
      <c r="CI208" s="33" t="s">
        <v>164</v>
      </c>
      <c r="CJ208" s="33" t="s">
        <v>164</v>
      </c>
      <c r="CK208" s="33" t="s">
        <v>164</v>
      </c>
      <c r="CL208" s="33" t="s">
        <v>164</v>
      </c>
      <c r="CM208" s="33" t="s">
        <v>164</v>
      </c>
      <c r="CN208" s="33" t="s">
        <v>164</v>
      </c>
      <c r="CO208" s="33" t="s">
        <v>164</v>
      </c>
      <c r="CP208" s="33" t="s">
        <v>164</v>
      </c>
      <c r="CQ208" s="33" t="s">
        <v>164</v>
      </c>
      <c r="CR208" s="33" t="s">
        <v>164</v>
      </c>
      <c r="CS208" s="33" t="s">
        <v>164</v>
      </c>
      <c r="CT208" s="33" t="s">
        <v>164</v>
      </c>
      <c r="CU208" s="33" t="s">
        <v>164</v>
      </c>
      <c r="CV208" s="33" t="s">
        <v>164</v>
      </c>
      <c r="CW208" s="140" t="s">
        <v>166</v>
      </c>
      <c r="CX208" s="38">
        <v>2.01</v>
      </c>
      <c r="CY208" s="38">
        <v>-1.63</v>
      </c>
      <c r="CZ208" s="50" t="s">
        <v>166</v>
      </c>
      <c r="DA208" s="33" t="s">
        <v>164</v>
      </c>
      <c r="DB208" s="33" t="s">
        <v>164</v>
      </c>
      <c r="DC208" s="33" t="s">
        <v>164</v>
      </c>
      <c r="DD208" s="33" t="s">
        <v>164</v>
      </c>
      <c r="DE208" s="33" t="s">
        <v>164</v>
      </c>
      <c r="DF208" s="33" t="s">
        <v>164</v>
      </c>
      <c r="DG208" s="33" t="s">
        <v>164</v>
      </c>
      <c r="DH208" s="33" t="s">
        <v>164</v>
      </c>
      <c r="DI208" s="33" t="s">
        <v>164</v>
      </c>
      <c r="DJ208" s="106" t="s">
        <v>166</v>
      </c>
      <c r="DK208" s="52">
        <v>1.75</v>
      </c>
      <c r="DL208" s="52">
        <v>6.88</v>
      </c>
      <c r="DM208" s="52">
        <v>77.95</v>
      </c>
      <c r="DN208" s="52">
        <v>4947.66</v>
      </c>
      <c r="DO208" s="52">
        <v>0.108602678</v>
      </c>
      <c r="DP208" s="52">
        <v>65.73</v>
      </c>
      <c r="DQ208" s="52">
        <v>1.16</v>
      </c>
      <c r="DR208" s="52">
        <v>3.65</v>
      </c>
      <c r="DS208" s="52">
        <v>1.24</v>
      </c>
      <c r="DT208" s="52">
        <v>28.96</v>
      </c>
      <c r="DU208" s="52">
        <v>290.73</v>
      </c>
      <c r="DV208" s="52">
        <v>0.18</v>
      </c>
      <c r="DW208" s="52">
        <v>2.39</v>
      </c>
      <c r="DX208" s="52">
        <v>1.18</v>
      </c>
      <c r="DY208" s="52">
        <v>8.03</v>
      </c>
      <c r="DZ208" s="52">
        <v>0.1</v>
      </c>
      <c r="EA208" s="52">
        <v>0.23</v>
      </c>
      <c r="EB208" s="52">
        <v>0.48</v>
      </c>
      <c r="EC208" s="52">
        <v>385.96</v>
      </c>
      <c r="ED208" s="52">
        <v>1.42</v>
      </c>
      <c r="EE208" s="52">
        <v>1.39</v>
      </c>
      <c r="EF208" s="52">
        <v>0.34</v>
      </c>
      <c r="EG208" s="52">
        <v>0.01</v>
      </c>
      <c r="EH208" s="52">
        <v>0.23</v>
      </c>
      <c r="EI208" s="52">
        <v>0.02</v>
      </c>
      <c r="EJ208" s="52">
        <v>0.03</v>
      </c>
      <c r="EK208" s="52">
        <v>2.3</v>
      </c>
      <c r="EL208" s="52">
        <v>0.67</v>
      </c>
      <c r="EM208" s="52">
        <v>0.49</v>
      </c>
      <c r="EN208" s="52">
        <v>0.4</v>
      </c>
      <c r="EO208" s="52">
        <v>0.07</v>
      </c>
      <c r="EP208" s="52">
        <v>0.02</v>
      </c>
      <c r="EQ208" s="52">
        <v>0.07</v>
      </c>
      <c r="ER208" s="52">
        <v>0.13</v>
      </c>
      <c r="ES208" s="52">
        <v>0.1</v>
      </c>
      <c r="ET208" s="52">
        <v>0.033381129</v>
      </c>
      <c r="EU208" s="52">
        <v>0.06</v>
      </c>
      <c r="EV208" s="52">
        <v>8.46</v>
      </c>
      <c r="EW208" s="52">
        <v>2.79</v>
      </c>
      <c r="EX208" s="52">
        <v>38.57</v>
      </c>
      <c r="EY208" s="52">
        <v>0.07</v>
      </c>
      <c r="FA208" s="40"/>
      <c r="FB208" s="40"/>
      <c r="FC208" s="40"/>
      <c r="FD208" s="40"/>
      <c r="FE208" s="40"/>
      <c r="FF208" s="40"/>
      <c r="FG208" s="40"/>
      <c r="FH208" s="40"/>
      <c r="FI208" s="40"/>
      <c r="FJ208" s="40"/>
      <c r="FK208" s="40"/>
      <c r="FL208" s="40"/>
      <c r="FM208" s="40"/>
      <c r="FN208" s="40"/>
      <c r="FO208" s="40"/>
      <c r="FP208" s="40"/>
      <c r="FQ208" s="40"/>
      <c r="FR208" s="40"/>
      <c r="FS208" s="40"/>
      <c r="FT208" s="40"/>
      <c r="FU208" s="40"/>
      <c r="FV208" s="40"/>
      <c r="FW208" s="40"/>
      <c r="FX208" s="40"/>
      <c r="FY208" s="40"/>
      <c r="FZ208" s="40"/>
      <c r="GA208" s="40"/>
    </row>
    <row r="209" ht="15.75" customHeight="1">
      <c r="A209" s="20" t="s">
        <v>461</v>
      </c>
      <c r="B209" s="20"/>
      <c r="C209" s="22"/>
      <c r="D209" s="22"/>
      <c r="E209" s="22"/>
      <c r="F209" s="22"/>
      <c r="G209" s="22"/>
      <c r="H209" s="22"/>
      <c r="I209" s="22"/>
      <c r="J209" s="22"/>
      <c r="K209" s="23"/>
      <c r="L209" s="62" t="s">
        <v>462</v>
      </c>
      <c r="M209" s="23"/>
      <c r="N209" s="23"/>
      <c r="O209" s="22" t="s">
        <v>164</v>
      </c>
      <c r="P209" s="24"/>
      <c r="Q209" s="24" t="str">
        <f t="shared" ref="Q209:Q259" si="12">CONCATENATE(R209, "-grained, ", T209, ", ", S209," marble")</f>
        <v>fine-grained, homogeneous, white marble</v>
      </c>
      <c r="R209" s="20" t="s">
        <v>180</v>
      </c>
      <c r="S209" s="20" t="s">
        <v>189</v>
      </c>
      <c r="T209" s="20" t="s">
        <v>194</v>
      </c>
      <c r="U209" s="20" t="s">
        <v>195</v>
      </c>
      <c r="V209" s="20" t="s">
        <v>190</v>
      </c>
      <c r="W209" s="20" t="s">
        <v>166</v>
      </c>
      <c r="X209" s="20">
        <v>1.3</v>
      </c>
      <c r="Y209" s="20" t="s">
        <v>209</v>
      </c>
      <c r="Z209" s="20" t="s">
        <v>184</v>
      </c>
      <c r="AA209" s="50" t="s">
        <v>166</v>
      </c>
      <c r="AB209" s="50" t="s">
        <v>166</v>
      </c>
      <c r="AC209" s="50">
        <v>1.2</v>
      </c>
      <c r="AD209" s="50" t="s">
        <v>209</v>
      </c>
      <c r="AE209" s="36" t="s">
        <v>245</v>
      </c>
      <c r="AF209" s="50" t="s">
        <v>166</v>
      </c>
      <c r="AG209" s="50" t="s">
        <v>166</v>
      </c>
      <c r="AH209" s="33" t="s">
        <v>164</v>
      </c>
      <c r="AI209" s="33" t="s">
        <v>164</v>
      </c>
      <c r="AJ209" s="33" t="s">
        <v>164</v>
      </c>
      <c r="AK209" s="33" t="s">
        <v>164</v>
      </c>
      <c r="AL209" s="33" t="s">
        <v>164</v>
      </c>
      <c r="AM209" s="22"/>
      <c r="AN209" s="22"/>
      <c r="AO209" s="43">
        <f t="shared" si="11"/>
        <v>0</v>
      </c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 t="s">
        <v>164</v>
      </c>
      <c r="BF209" s="22" t="s">
        <v>164</v>
      </c>
      <c r="BG209" s="22" t="s">
        <v>164</v>
      </c>
      <c r="BH209" s="22" t="s">
        <v>164</v>
      </c>
      <c r="BI209" s="22"/>
      <c r="BJ209" s="22" t="s">
        <v>164</v>
      </c>
      <c r="BK209" s="22"/>
      <c r="BL209" s="22" t="s">
        <v>164</v>
      </c>
      <c r="BM209" s="22"/>
      <c r="BN209" s="22" t="s">
        <v>164</v>
      </c>
      <c r="BO209" s="22"/>
      <c r="BP209" s="22"/>
      <c r="BQ209" s="22"/>
      <c r="BR209" s="22" t="s">
        <v>164</v>
      </c>
      <c r="BS209" s="22"/>
      <c r="BT209" s="22" t="s">
        <v>164</v>
      </c>
      <c r="BU209" s="22"/>
      <c r="BV209" s="22"/>
      <c r="BW209" s="22"/>
      <c r="BX209" s="22" t="s">
        <v>164</v>
      </c>
      <c r="BY209" s="22"/>
      <c r="BZ209" s="22" t="s">
        <v>164</v>
      </c>
      <c r="CA209" s="22"/>
      <c r="CB209" s="22" t="s">
        <v>164</v>
      </c>
      <c r="CC209" s="22"/>
      <c r="CD209" s="22" t="s">
        <v>164</v>
      </c>
      <c r="CE209" s="33" t="s">
        <v>164</v>
      </c>
      <c r="CF209" s="33" t="s">
        <v>164</v>
      </c>
      <c r="CG209" s="33" t="s">
        <v>164</v>
      </c>
      <c r="CH209" s="33" t="s">
        <v>164</v>
      </c>
      <c r="CI209" s="33" t="s">
        <v>164</v>
      </c>
      <c r="CJ209" s="33" t="s">
        <v>164</v>
      </c>
      <c r="CK209" s="33" t="s">
        <v>164</v>
      </c>
      <c r="CL209" s="33" t="s">
        <v>164</v>
      </c>
      <c r="CM209" s="33" t="s">
        <v>164</v>
      </c>
      <c r="CN209" s="33" t="s">
        <v>164</v>
      </c>
      <c r="CO209" s="33" t="s">
        <v>164</v>
      </c>
      <c r="CP209" s="33" t="s">
        <v>164</v>
      </c>
      <c r="CQ209" s="33" t="s">
        <v>164</v>
      </c>
      <c r="CR209" s="33" t="s">
        <v>164</v>
      </c>
      <c r="CS209" s="33" t="s">
        <v>164</v>
      </c>
      <c r="CT209" s="33" t="s">
        <v>164</v>
      </c>
      <c r="CU209" s="33" t="s">
        <v>164</v>
      </c>
      <c r="CV209" s="33" t="s">
        <v>164</v>
      </c>
      <c r="CW209" s="140" t="s">
        <v>166</v>
      </c>
      <c r="CX209" s="38">
        <v>3.07</v>
      </c>
      <c r="CY209" s="38">
        <v>-2.31</v>
      </c>
      <c r="CZ209" s="50" t="s">
        <v>166</v>
      </c>
      <c r="DA209" s="33" t="s">
        <v>164</v>
      </c>
      <c r="DB209" s="33" t="s">
        <v>164</v>
      </c>
      <c r="DC209" s="33" t="s">
        <v>164</v>
      </c>
      <c r="DD209" s="33" t="s">
        <v>164</v>
      </c>
      <c r="DE209" s="33" t="s">
        <v>164</v>
      </c>
      <c r="DF209" s="33" t="s">
        <v>164</v>
      </c>
      <c r="DG209" s="33" t="s">
        <v>164</v>
      </c>
      <c r="DH209" s="33" t="s">
        <v>164</v>
      </c>
      <c r="DI209" s="33" t="s">
        <v>164</v>
      </c>
      <c r="DJ209" s="106"/>
      <c r="DK209" s="63"/>
      <c r="DL209" s="63"/>
      <c r="DM209" s="63"/>
      <c r="DN209" s="63"/>
      <c r="DO209" s="63"/>
      <c r="DP209" s="63"/>
      <c r="DQ209" s="63"/>
      <c r="DR209" s="63"/>
      <c r="DS209" s="63"/>
      <c r="DT209" s="63"/>
      <c r="DU209" s="63"/>
      <c r="DV209" s="63"/>
      <c r="DW209" s="63"/>
      <c r="DX209" s="63"/>
      <c r="DY209" s="63"/>
      <c r="DZ209" s="63"/>
      <c r="EA209" s="63"/>
      <c r="EB209" s="63"/>
      <c r="EC209" s="63"/>
      <c r="ED209" s="63"/>
      <c r="EE209" s="63"/>
      <c r="EF209" s="63"/>
      <c r="EG209" s="63"/>
      <c r="EH209" s="63"/>
      <c r="EI209" s="63"/>
      <c r="EJ209" s="63"/>
      <c r="EK209" s="63"/>
      <c r="EL209" s="63"/>
      <c r="EM209" s="63"/>
      <c r="EN209" s="63"/>
      <c r="EO209" s="63"/>
      <c r="EP209" s="63"/>
      <c r="EQ209" s="63"/>
      <c r="ER209" s="63"/>
      <c r="ES209" s="63"/>
      <c r="ET209" s="63"/>
      <c r="EU209" s="63"/>
      <c r="EV209" s="63"/>
      <c r="EW209" s="63"/>
      <c r="EX209" s="63"/>
      <c r="EY209" s="63"/>
      <c r="EZ209" s="33"/>
      <c r="FA209" s="40"/>
      <c r="FB209" s="40"/>
      <c r="FC209" s="40"/>
      <c r="FD209" s="40"/>
      <c r="FE209" s="40"/>
      <c r="FF209" s="40"/>
      <c r="FG209" s="40"/>
      <c r="FH209" s="40"/>
      <c r="FI209" s="40"/>
      <c r="FJ209" s="40"/>
      <c r="FK209" s="40"/>
      <c r="FL209" s="40"/>
      <c r="FM209" s="40"/>
      <c r="FN209" s="40"/>
      <c r="FO209" s="40"/>
      <c r="FP209" s="40"/>
      <c r="FQ209" s="40"/>
      <c r="FR209" s="40"/>
      <c r="FS209" s="40"/>
      <c r="FT209" s="40"/>
      <c r="FU209" s="40"/>
      <c r="FV209" s="40"/>
      <c r="FW209" s="40"/>
      <c r="FX209" s="40"/>
      <c r="FY209" s="40"/>
      <c r="FZ209" s="40"/>
      <c r="GA209" s="40"/>
    </row>
    <row r="210" ht="15.75" customHeight="1">
      <c r="A210" s="20" t="s">
        <v>463</v>
      </c>
      <c r="B210" s="20"/>
      <c r="C210" s="22"/>
      <c r="D210" s="22"/>
      <c r="E210" s="22"/>
      <c r="F210" s="22"/>
      <c r="G210" s="22"/>
      <c r="H210" s="22"/>
      <c r="I210" s="22"/>
      <c r="J210" s="22"/>
      <c r="K210" s="23"/>
      <c r="L210" s="23"/>
      <c r="M210" s="23"/>
      <c r="N210" s="23"/>
      <c r="O210" s="22"/>
      <c r="P210" s="24"/>
      <c r="Q210" s="24" t="str">
        <f t="shared" si="12"/>
        <v>very fine-grained, veined, grey marble</v>
      </c>
      <c r="R210" s="20" t="s">
        <v>188</v>
      </c>
      <c r="S210" s="20" t="s">
        <v>181</v>
      </c>
      <c r="T210" s="20" t="s">
        <v>206</v>
      </c>
      <c r="U210" s="20" t="s">
        <v>181</v>
      </c>
      <c r="V210" s="22"/>
      <c r="W210" s="20" t="s">
        <v>166</v>
      </c>
      <c r="X210" s="20">
        <v>0.4</v>
      </c>
      <c r="Y210" s="20" t="s">
        <v>196</v>
      </c>
      <c r="Z210" s="20" t="s">
        <v>184</v>
      </c>
      <c r="AE210" s="110"/>
      <c r="AM210" s="22"/>
      <c r="AN210" s="22"/>
      <c r="AO210" s="43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V210" s="33"/>
      <c r="CW210" s="116"/>
      <c r="CX210" s="47"/>
      <c r="CY210" s="47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  <c r="EW210" s="33"/>
      <c r="EX210" s="33"/>
      <c r="EY210" s="33"/>
      <c r="EZ210" s="33"/>
      <c r="FA210" s="40"/>
      <c r="FB210" s="40"/>
      <c r="FC210" s="40"/>
      <c r="FD210" s="40"/>
      <c r="FE210" s="40"/>
      <c r="FF210" s="40"/>
      <c r="FG210" s="40"/>
      <c r="FH210" s="40"/>
      <c r="FI210" s="40"/>
      <c r="FJ210" s="40"/>
      <c r="FK210" s="40"/>
      <c r="FL210" s="40"/>
      <c r="FM210" s="40"/>
      <c r="FN210" s="40"/>
      <c r="FO210" s="40"/>
      <c r="FP210" s="40"/>
      <c r="FQ210" s="40"/>
      <c r="FR210" s="40"/>
      <c r="FS210" s="40"/>
      <c r="FT210" s="40"/>
      <c r="FU210" s="40"/>
      <c r="FV210" s="40"/>
      <c r="FW210" s="40"/>
      <c r="FX210" s="40"/>
      <c r="FY210" s="40"/>
      <c r="FZ210" s="40"/>
      <c r="GA210" s="40"/>
    </row>
    <row r="211" ht="15.75" customHeight="1">
      <c r="A211" s="20" t="s">
        <v>464</v>
      </c>
      <c r="B211" s="20"/>
      <c r="C211" s="22"/>
      <c r="D211" s="22"/>
      <c r="E211" s="22"/>
      <c r="F211" s="22"/>
      <c r="G211" s="22"/>
      <c r="H211" s="22"/>
      <c r="I211" s="22"/>
      <c r="J211" s="22"/>
      <c r="K211" s="48" t="s">
        <v>225</v>
      </c>
      <c r="L211" s="23"/>
      <c r="M211" s="23"/>
      <c r="N211" s="23"/>
      <c r="O211" s="22" t="s">
        <v>164</v>
      </c>
      <c r="P211" s="24"/>
      <c r="Q211" s="24" t="str">
        <f t="shared" si="12"/>
        <v>very fine-grained, veined, white marble</v>
      </c>
      <c r="R211" s="51" t="s">
        <v>188</v>
      </c>
      <c r="S211" s="51" t="s">
        <v>189</v>
      </c>
      <c r="T211" s="51" t="s">
        <v>206</v>
      </c>
      <c r="U211" s="51" t="s">
        <v>181</v>
      </c>
      <c r="V211" s="51" t="s">
        <v>190</v>
      </c>
      <c r="W211" s="51" t="s">
        <v>166</v>
      </c>
      <c r="X211" s="51">
        <v>0.4</v>
      </c>
      <c r="Y211" s="51" t="s">
        <v>196</v>
      </c>
      <c r="Z211" s="51" t="s">
        <v>184</v>
      </c>
      <c r="AB211" s="106" t="s">
        <v>166</v>
      </c>
      <c r="AC211" s="106">
        <v>0.6</v>
      </c>
      <c r="AD211" s="106" t="s">
        <v>209</v>
      </c>
      <c r="AE211" s="106" t="s">
        <v>245</v>
      </c>
      <c r="AF211" s="106" t="s">
        <v>166</v>
      </c>
      <c r="AG211" s="106" t="s">
        <v>166</v>
      </c>
      <c r="AH211" s="33" t="s">
        <v>164</v>
      </c>
      <c r="AI211" s="33" t="s">
        <v>164</v>
      </c>
      <c r="AJ211" s="33" t="s">
        <v>164</v>
      </c>
      <c r="AK211" s="33" t="s">
        <v>164</v>
      </c>
      <c r="AL211" s="33" t="s">
        <v>164</v>
      </c>
      <c r="AM211" s="22"/>
      <c r="AN211" s="22"/>
      <c r="AO211" s="43">
        <f t="shared" ref="AO211:AO214" si="13">SUM(AP211,AQ211,AR211)</f>
        <v>0</v>
      </c>
      <c r="AP211" s="22" t="s">
        <v>164</v>
      </c>
      <c r="AQ211" s="22" t="s">
        <v>164</v>
      </c>
      <c r="AR211" s="22" t="s">
        <v>164</v>
      </c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0">
        <v>0.498174</v>
      </c>
      <c r="BF211" s="22" t="s">
        <v>164</v>
      </c>
      <c r="BG211" s="20">
        <v>1.70258</v>
      </c>
      <c r="BH211" s="22" t="s">
        <v>164</v>
      </c>
      <c r="BI211" s="22"/>
      <c r="BJ211" s="22" t="s">
        <v>164</v>
      </c>
      <c r="BK211" s="22"/>
      <c r="BL211" s="22" t="s">
        <v>164</v>
      </c>
      <c r="BM211" s="22"/>
      <c r="BN211" s="22" t="s">
        <v>164</v>
      </c>
      <c r="BO211" s="22"/>
      <c r="BP211" s="22"/>
      <c r="BQ211" s="22"/>
      <c r="BR211" s="22" t="s">
        <v>164</v>
      </c>
      <c r="BS211" s="22"/>
      <c r="BT211" s="22" t="s">
        <v>164</v>
      </c>
      <c r="BU211" s="22"/>
      <c r="BV211" s="22"/>
      <c r="BW211" s="22"/>
      <c r="BX211" s="22" t="s">
        <v>164</v>
      </c>
      <c r="BY211" s="22"/>
      <c r="BZ211" s="22" t="s">
        <v>164</v>
      </c>
      <c r="CA211" s="22"/>
      <c r="CB211" s="22" t="s">
        <v>164</v>
      </c>
      <c r="CC211" s="22"/>
      <c r="CD211" s="22" t="s">
        <v>164</v>
      </c>
      <c r="CE211" s="33" t="s">
        <v>164</v>
      </c>
      <c r="CF211" s="33" t="s">
        <v>164</v>
      </c>
      <c r="CG211" s="33" t="s">
        <v>164</v>
      </c>
      <c r="CH211" s="33" t="s">
        <v>164</v>
      </c>
      <c r="CI211" s="33" t="s">
        <v>164</v>
      </c>
      <c r="CJ211" s="33" t="s">
        <v>164</v>
      </c>
      <c r="CK211" s="33" t="s">
        <v>164</v>
      </c>
      <c r="CL211" s="33" t="s">
        <v>164</v>
      </c>
      <c r="CM211" s="33" t="s">
        <v>164</v>
      </c>
      <c r="CN211" s="33" t="s">
        <v>164</v>
      </c>
      <c r="CO211" s="33" t="s">
        <v>164</v>
      </c>
      <c r="CP211" s="33" t="s">
        <v>164</v>
      </c>
      <c r="CQ211" s="33" t="s">
        <v>164</v>
      </c>
      <c r="CR211" s="33" t="s">
        <v>164</v>
      </c>
      <c r="CS211" s="33" t="s">
        <v>164</v>
      </c>
      <c r="CT211" s="33" t="s">
        <v>164</v>
      </c>
      <c r="CU211" s="33" t="s">
        <v>164</v>
      </c>
      <c r="CV211" s="33" t="s">
        <v>164</v>
      </c>
      <c r="CW211" s="140" t="s">
        <v>166</v>
      </c>
      <c r="CX211" s="38">
        <v>1.96</v>
      </c>
      <c r="CY211" s="38">
        <v>-1.78</v>
      </c>
      <c r="CZ211" s="33"/>
      <c r="DA211" s="33" t="s">
        <v>164</v>
      </c>
      <c r="DB211" s="33" t="s">
        <v>164</v>
      </c>
      <c r="DC211" s="33" t="s">
        <v>164</v>
      </c>
      <c r="DD211" s="33" t="s">
        <v>164</v>
      </c>
      <c r="DE211" s="33" t="s">
        <v>164</v>
      </c>
      <c r="DF211" s="33" t="s">
        <v>164</v>
      </c>
      <c r="DG211" s="33" t="s">
        <v>164</v>
      </c>
      <c r="DH211" s="33" t="s">
        <v>164</v>
      </c>
      <c r="DI211" s="33" t="s">
        <v>164</v>
      </c>
      <c r="DJ211" s="50" t="s">
        <v>166</v>
      </c>
      <c r="DK211" s="52">
        <v>2.25</v>
      </c>
      <c r="DL211" s="52">
        <v>6.09</v>
      </c>
      <c r="DM211" s="52">
        <v>31.17</v>
      </c>
      <c r="DN211" s="52">
        <v>5740.34</v>
      </c>
      <c r="DO211" s="52">
        <v>0.109509228</v>
      </c>
      <c r="DP211" s="52">
        <v>8.91</v>
      </c>
      <c r="DQ211" s="52">
        <v>1.96</v>
      </c>
      <c r="DR211" s="52">
        <v>4.42</v>
      </c>
      <c r="DS211" s="52">
        <v>2.3</v>
      </c>
      <c r="DT211" s="52">
        <v>55.18</v>
      </c>
      <c r="DU211" s="52">
        <v>247.15</v>
      </c>
      <c r="DV211" s="52">
        <v>0.31</v>
      </c>
      <c r="DW211" s="52">
        <v>3.38</v>
      </c>
      <c r="DX211" s="52">
        <v>2.36</v>
      </c>
      <c r="DY211" s="52">
        <v>13.4</v>
      </c>
      <c r="DZ211" s="52">
        <v>0.16</v>
      </c>
      <c r="EA211" s="52">
        <v>0.07</v>
      </c>
      <c r="EB211" s="52">
        <v>0.6</v>
      </c>
      <c r="EC211" s="52">
        <v>213.68</v>
      </c>
      <c r="ED211" s="52">
        <v>1.36</v>
      </c>
      <c r="EE211" s="52">
        <v>0.64</v>
      </c>
      <c r="EF211" s="52">
        <v>0.14</v>
      </c>
      <c r="EG211" s="52">
        <v>0.02</v>
      </c>
      <c r="EH211" s="52">
        <v>0.37</v>
      </c>
      <c r="EI211" s="52">
        <v>0.09</v>
      </c>
      <c r="EJ211" s="52">
        <v>0.07</v>
      </c>
      <c r="EK211" s="52">
        <v>4.79</v>
      </c>
      <c r="EL211" s="52">
        <v>0.59</v>
      </c>
      <c r="EM211" s="52">
        <v>0.5</v>
      </c>
      <c r="EN211" s="52">
        <v>0.44</v>
      </c>
      <c r="EO211" s="52">
        <v>0.08</v>
      </c>
      <c r="EP211" s="52">
        <v>0.02</v>
      </c>
      <c r="EQ211" s="52">
        <v>0.09</v>
      </c>
      <c r="ER211" s="52">
        <v>0.12</v>
      </c>
      <c r="ES211" s="52">
        <v>0.09</v>
      </c>
      <c r="ET211" s="52">
        <v>0.035510928</v>
      </c>
      <c r="EU211" s="52">
        <v>0.01</v>
      </c>
      <c r="EV211" s="52">
        <v>30.06</v>
      </c>
      <c r="EW211" s="52">
        <v>23.85</v>
      </c>
      <c r="EX211" s="52">
        <v>3.22</v>
      </c>
      <c r="EY211" s="52">
        <v>0.17</v>
      </c>
      <c r="EZ211" s="33"/>
      <c r="FA211" s="33"/>
      <c r="FB211" s="33"/>
      <c r="FC211" s="33"/>
      <c r="FD211" s="33"/>
      <c r="FE211" s="33"/>
      <c r="FF211" s="33"/>
      <c r="FG211" s="33"/>
      <c r="FH211" s="33"/>
      <c r="FI211" s="33"/>
      <c r="FJ211" s="33"/>
      <c r="FK211" s="33"/>
      <c r="FL211" s="33"/>
      <c r="FM211" s="33"/>
      <c r="FN211" s="33"/>
      <c r="FO211" s="33"/>
      <c r="FP211" s="33"/>
      <c r="FQ211" s="33"/>
      <c r="FR211" s="33"/>
      <c r="FS211" s="33"/>
      <c r="FT211" s="33"/>
      <c r="FU211" s="33"/>
      <c r="FV211" s="33"/>
      <c r="FW211" s="33"/>
      <c r="FX211" s="33"/>
      <c r="FY211" s="33"/>
      <c r="FZ211" s="33"/>
      <c r="GA211" s="33"/>
    </row>
    <row r="212" ht="15.75" customHeight="1">
      <c r="A212" s="20" t="s">
        <v>465</v>
      </c>
      <c r="B212" s="20"/>
      <c r="C212" s="44"/>
      <c r="D212" s="44"/>
      <c r="E212" s="44"/>
      <c r="F212" s="44"/>
      <c r="G212" s="44"/>
      <c r="H212" s="44"/>
      <c r="I212" s="44"/>
      <c r="J212" s="44"/>
      <c r="K212" s="100"/>
      <c r="L212" s="100"/>
      <c r="M212" s="100"/>
      <c r="N212" s="100"/>
      <c r="O212" s="44"/>
      <c r="P212" s="24"/>
      <c r="Q212" s="24" t="str">
        <f t="shared" si="12"/>
        <v>coarse-grained, banded, white marble</v>
      </c>
      <c r="R212" s="51" t="s">
        <v>222</v>
      </c>
      <c r="S212" s="51" t="s">
        <v>189</v>
      </c>
      <c r="T212" s="51" t="s">
        <v>182</v>
      </c>
      <c r="U212" s="51" t="s">
        <v>181</v>
      </c>
      <c r="V212" s="44"/>
      <c r="W212" s="51" t="s">
        <v>166</v>
      </c>
      <c r="X212" s="51">
        <v>7.3</v>
      </c>
      <c r="Y212" s="51" t="s">
        <v>183</v>
      </c>
      <c r="Z212" s="51" t="s">
        <v>198</v>
      </c>
      <c r="AB212" s="106" t="s">
        <v>166</v>
      </c>
      <c r="AC212" s="106">
        <v>5.0</v>
      </c>
      <c r="AD212" s="106" t="s">
        <v>183</v>
      </c>
      <c r="AE212" s="107" t="s">
        <v>270</v>
      </c>
      <c r="AF212" s="106" t="s">
        <v>166</v>
      </c>
      <c r="AM212" s="44"/>
      <c r="AN212" s="44"/>
      <c r="AO212" s="43">
        <f t="shared" si="13"/>
        <v>0</v>
      </c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W212" s="132" t="s">
        <v>466</v>
      </c>
      <c r="CX212" s="142"/>
      <c r="CY212" s="47"/>
      <c r="FA212" s="40"/>
      <c r="FB212" s="40"/>
      <c r="FC212" s="40"/>
      <c r="FD212" s="40"/>
      <c r="FE212" s="40"/>
      <c r="FF212" s="40"/>
      <c r="FG212" s="40"/>
      <c r="FH212" s="40"/>
      <c r="FI212" s="40"/>
      <c r="FJ212" s="40"/>
      <c r="FK212" s="40"/>
      <c r="FL212" s="40"/>
      <c r="FM212" s="40"/>
      <c r="FN212" s="40"/>
      <c r="FO212" s="40"/>
      <c r="FP212" s="40"/>
      <c r="FQ212" s="40"/>
      <c r="FR212" s="40"/>
      <c r="FS212" s="40"/>
      <c r="FT212" s="40"/>
      <c r="FU212" s="40"/>
      <c r="FV212" s="40"/>
      <c r="FW212" s="40"/>
      <c r="FX212" s="40"/>
      <c r="FY212" s="40"/>
      <c r="FZ212" s="40"/>
      <c r="GA212" s="40"/>
    </row>
    <row r="213" ht="15.75" customHeight="1">
      <c r="A213" s="20" t="s">
        <v>467</v>
      </c>
      <c r="B213" s="20"/>
      <c r="C213" s="44"/>
      <c r="D213" s="44"/>
      <c r="E213" s="44"/>
      <c r="F213" s="44"/>
      <c r="G213" s="44"/>
      <c r="H213" s="44"/>
      <c r="I213" s="44"/>
      <c r="J213" s="44"/>
      <c r="K213" s="100"/>
      <c r="L213" s="100"/>
      <c r="M213" s="100"/>
      <c r="N213" s="100"/>
      <c r="O213" s="44"/>
      <c r="P213" s="24"/>
      <c r="Q213" s="24" t="str">
        <f t="shared" si="12"/>
        <v>coarse-grained, banded, grey marble</v>
      </c>
      <c r="R213" s="51" t="s">
        <v>222</v>
      </c>
      <c r="S213" s="51" t="s">
        <v>181</v>
      </c>
      <c r="T213" s="51" t="s">
        <v>182</v>
      </c>
      <c r="U213" s="51" t="s">
        <v>189</v>
      </c>
      <c r="V213" s="44"/>
      <c r="W213" s="51" t="s">
        <v>166</v>
      </c>
      <c r="X213" s="51">
        <v>7.3</v>
      </c>
      <c r="Y213" s="51" t="s">
        <v>183</v>
      </c>
      <c r="Z213" s="51" t="s">
        <v>198</v>
      </c>
      <c r="AB213" s="106" t="s">
        <v>166</v>
      </c>
      <c r="AC213" s="106">
        <v>5.0</v>
      </c>
      <c r="AD213" s="106" t="s">
        <v>183</v>
      </c>
      <c r="AE213" s="107" t="s">
        <v>245</v>
      </c>
      <c r="AF213" s="106" t="s">
        <v>166</v>
      </c>
      <c r="AM213" s="44"/>
      <c r="AN213" s="44"/>
      <c r="AO213" s="43">
        <f t="shared" si="13"/>
        <v>0</v>
      </c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W213" s="132" t="s">
        <v>466</v>
      </c>
      <c r="CX213" s="149"/>
      <c r="CY213" s="47"/>
      <c r="FA213" s="40"/>
      <c r="FB213" s="40"/>
      <c r="FC213" s="40"/>
      <c r="FD213" s="40"/>
      <c r="FE213" s="40"/>
      <c r="FF213" s="40"/>
      <c r="FG213" s="40"/>
      <c r="FH213" s="40"/>
      <c r="FI213" s="40"/>
      <c r="FJ213" s="40"/>
      <c r="FK213" s="40"/>
      <c r="FL213" s="40"/>
      <c r="FM213" s="40"/>
      <c r="FN213" s="40"/>
      <c r="FO213" s="40"/>
      <c r="FP213" s="40"/>
      <c r="FQ213" s="40"/>
      <c r="FR213" s="40"/>
      <c r="FS213" s="40"/>
      <c r="FT213" s="40"/>
      <c r="FU213" s="40"/>
      <c r="FV213" s="40"/>
      <c r="FW213" s="40"/>
      <c r="FX213" s="40"/>
      <c r="FY213" s="40"/>
      <c r="FZ213" s="40"/>
      <c r="GA213" s="40"/>
    </row>
    <row r="214" ht="15.75" customHeight="1">
      <c r="A214" s="20" t="s">
        <v>468</v>
      </c>
      <c r="B214" s="20"/>
      <c r="C214" s="44"/>
      <c r="D214" s="44"/>
      <c r="E214" s="44"/>
      <c r="F214" s="44"/>
      <c r="G214" s="44"/>
      <c r="H214" s="44"/>
      <c r="I214" s="44"/>
      <c r="J214" s="44"/>
      <c r="K214" s="100"/>
      <c r="L214" s="100"/>
      <c r="M214" s="100"/>
      <c r="N214" s="100"/>
      <c r="O214" s="44"/>
      <c r="P214" s="24"/>
      <c r="Q214" s="24" t="str">
        <f t="shared" si="12"/>
        <v>medium-grained, homogeneous, white marble</v>
      </c>
      <c r="R214" s="51" t="s">
        <v>205</v>
      </c>
      <c r="S214" s="51" t="s">
        <v>189</v>
      </c>
      <c r="T214" s="51" t="s">
        <v>194</v>
      </c>
      <c r="U214" s="51" t="s">
        <v>195</v>
      </c>
      <c r="V214" s="44"/>
      <c r="W214" s="51" t="s">
        <v>166</v>
      </c>
      <c r="X214" s="51">
        <v>1.6</v>
      </c>
      <c r="Y214" s="51" t="s">
        <v>183</v>
      </c>
      <c r="Z214" s="44"/>
      <c r="AB214" s="106" t="s">
        <v>166</v>
      </c>
      <c r="AC214" s="106">
        <v>2.0</v>
      </c>
      <c r="AD214" s="106" t="s">
        <v>183</v>
      </c>
      <c r="AE214" s="107" t="s">
        <v>213</v>
      </c>
      <c r="AL214" s="106" t="s">
        <v>186</v>
      </c>
      <c r="AM214" s="44"/>
      <c r="AN214" s="44"/>
      <c r="AO214" s="43">
        <f t="shared" si="13"/>
        <v>0</v>
      </c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W214" s="132" t="s">
        <v>466</v>
      </c>
      <c r="CX214" s="149"/>
      <c r="CY214" s="47"/>
      <c r="FA214" s="40"/>
      <c r="FB214" s="40"/>
      <c r="FC214" s="40"/>
      <c r="FD214" s="40"/>
      <c r="FE214" s="40"/>
      <c r="FF214" s="40"/>
      <c r="FG214" s="40"/>
      <c r="FH214" s="40"/>
      <c r="FI214" s="40"/>
      <c r="FJ214" s="40"/>
      <c r="FK214" s="40"/>
      <c r="FL214" s="40"/>
      <c r="FM214" s="40"/>
      <c r="FN214" s="40"/>
      <c r="FO214" s="40"/>
      <c r="FP214" s="40"/>
      <c r="FQ214" s="40"/>
      <c r="FR214" s="40"/>
      <c r="FS214" s="40"/>
      <c r="FT214" s="40"/>
      <c r="FU214" s="40"/>
      <c r="FV214" s="40"/>
      <c r="FW214" s="40"/>
      <c r="FX214" s="40"/>
      <c r="FY214" s="40"/>
      <c r="FZ214" s="40"/>
      <c r="GA214" s="40"/>
    </row>
    <row r="215" ht="15.75" customHeight="1">
      <c r="A215" s="20" t="s">
        <v>469</v>
      </c>
      <c r="B215" s="20"/>
      <c r="C215" s="22"/>
      <c r="D215" s="22"/>
      <c r="E215" s="22"/>
      <c r="F215" s="22"/>
      <c r="G215" s="22"/>
      <c r="H215" s="22"/>
      <c r="I215" s="22"/>
      <c r="J215" s="22"/>
      <c r="K215" s="23"/>
      <c r="L215" s="23"/>
      <c r="M215" s="23"/>
      <c r="N215" s="23"/>
      <c r="O215" s="22"/>
      <c r="P215" s="24"/>
      <c r="Q215" s="24" t="str">
        <f t="shared" si="12"/>
        <v>very fine-grained, homogeneous, dark grey marble</v>
      </c>
      <c r="R215" s="20" t="s">
        <v>188</v>
      </c>
      <c r="S215" s="20" t="s">
        <v>254</v>
      </c>
      <c r="T215" s="20" t="s">
        <v>194</v>
      </c>
      <c r="U215" s="20" t="s">
        <v>195</v>
      </c>
      <c r="V215" s="22"/>
      <c r="W215" s="20" t="s">
        <v>166</v>
      </c>
      <c r="X215" s="20">
        <v>0.4</v>
      </c>
      <c r="Y215" s="20" t="s">
        <v>209</v>
      </c>
      <c r="Z215" s="20" t="s">
        <v>219</v>
      </c>
      <c r="AB215" s="106" t="s">
        <v>190</v>
      </c>
      <c r="AE215" s="110"/>
      <c r="AM215" s="22"/>
      <c r="AN215" s="22"/>
      <c r="AO215" s="43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V215" s="33"/>
      <c r="CW215" s="116"/>
      <c r="CX215" s="47"/>
      <c r="CY215" s="47"/>
      <c r="DJ215" s="33"/>
      <c r="DK215" s="33"/>
      <c r="DL215" s="33"/>
      <c r="DM215" s="33"/>
      <c r="DN215" s="33"/>
      <c r="DO215" s="33"/>
      <c r="DP215" s="33"/>
      <c r="DQ215" s="33"/>
      <c r="DR215" s="33"/>
      <c r="DS215" s="33"/>
      <c r="DT215" s="33"/>
      <c r="DU215" s="33"/>
      <c r="DV215" s="33"/>
      <c r="DW215" s="33"/>
      <c r="DX215" s="33"/>
      <c r="DY215" s="33"/>
      <c r="DZ215" s="33"/>
      <c r="EA215" s="33"/>
      <c r="EB215" s="33"/>
      <c r="EC215" s="33"/>
      <c r="ED215" s="33"/>
      <c r="EE215" s="33"/>
      <c r="EF215" s="33"/>
      <c r="EG215" s="33"/>
      <c r="EH215" s="33"/>
      <c r="EI215" s="33"/>
      <c r="EJ215" s="33"/>
      <c r="EK215" s="33"/>
      <c r="EL215" s="33"/>
      <c r="EM215" s="33"/>
      <c r="EN215" s="33"/>
      <c r="EO215" s="33"/>
      <c r="EP215" s="33"/>
      <c r="EQ215" s="33"/>
      <c r="ER215" s="33"/>
      <c r="ES215" s="33"/>
      <c r="ET215" s="33"/>
      <c r="EU215" s="33"/>
      <c r="EV215" s="33"/>
      <c r="EW215" s="33"/>
      <c r="EX215" s="33"/>
      <c r="EY215" s="33"/>
      <c r="EZ215" s="33"/>
      <c r="FA215" s="40"/>
      <c r="FB215" s="40"/>
      <c r="FC215" s="40"/>
      <c r="FD215" s="40"/>
      <c r="FE215" s="40"/>
      <c r="FF215" s="40"/>
      <c r="FG215" s="40"/>
      <c r="FH215" s="40"/>
      <c r="FI215" s="40"/>
      <c r="FJ215" s="40"/>
      <c r="FK215" s="40"/>
      <c r="FL215" s="40"/>
      <c r="FM215" s="40"/>
      <c r="FN215" s="40"/>
      <c r="FO215" s="40"/>
      <c r="FP215" s="40"/>
      <c r="FQ215" s="40"/>
      <c r="FR215" s="40"/>
      <c r="FS215" s="40"/>
      <c r="FT215" s="40"/>
      <c r="FU215" s="40"/>
      <c r="FV215" s="40"/>
      <c r="FW215" s="40"/>
      <c r="FX215" s="40"/>
      <c r="FY215" s="40"/>
      <c r="FZ215" s="40"/>
      <c r="GA215" s="40"/>
    </row>
    <row r="216" ht="15.75" customHeight="1">
      <c r="A216" s="20" t="s">
        <v>470</v>
      </c>
      <c r="B216" s="20"/>
      <c r="C216" s="22"/>
      <c r="D216" s="22"/>
      <c r="E216" s="22"/>
      <c r="F216" s="22"/>
      <c r="G216" s="22"/>
      <c r="H216" s="22"/>
      <c r="I216" s="22"/>
      <c r="J216" s="22"/>
      <c r="K216" s="23"/>
      <c r="L216" s="23"/>
      <c r="M216" s="23"/>
      <c r="N216" s="23"/>
      <c r="O216" s="22"/>
      <c r="P216" s="24"/>
      <c r="Q216" s="24" t="str">
        <f t="shared" si="12"/>
        <v>very fine-grained, homogeneous, white marble</v>
      </c>
      <c r="R216" s="20" t="s">
        <v>188</v>
      </c>
      <c r="S216" s="20" t="s">
        <v>189</v>
      </c>
      <c r="T216" s="20" t="s">
        <v>194</v>
      </c>
      <c r="U216" s="20" t="s">
        <v>195</v>
      </c>
      <c r="V216" s="22"/>
      <c r="W216" s="20" t="s">
        <v>166</v>
      </c>
      <c r="X216" s="20">
        <v>0.4</v>
      </c>
      <c r="Y216" s="20" t="s">
        <v>196</v>
      </c>
      <c r="Z216" s="20" t="s">
        <v>219</v>
      </c>
      <c r="AB216" s="106" t="s">
        <v>190</v>
      </c>
      <c r="AE216" s="110"/>
      <c r="AM216" s="22"/>
      <c r="AN216" s="22"/>
      <c r="AO216" s="43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V216" s="33"/>
      <c r="CW216" s="116"/>
      <c r="CX216" s="47"/>
      <c r="CY216" s="47"/>
      <c r="DJ216" s="33"/>
      <c r="DK216" s="33"/>
      <c r="DL216" s="33"/>
      <c r="DM216" s="33"/>
      <c r="DN216" s="33"/>
      <c r="DO216" s="33"/>
      <c r="DP216" s="33"/>
      <c r="DQ216" s="33"/>
      <c r="DR216" s="33"/>
      <c r="DS216" s="33"/>
      <c r="DT216" s="33"/>
      <c r="DU216" s="33"/>
      <c r="DV216" s="33"/>
      <c r="DW216" s="33"/>
      <c r="DX216" s="33"/>
      <c r="DY216" s="33"/>
      <c r="DZ216" s="33"/>
      <c r="EA216" s="33"/>
      <c r="EB216" s="33"/>
      <c r="EC216" s="33"/>
      <c r="ED216" s="33"/>
      <c r="EE216" s="33"/>
      <c r="EF216" s="33"/>
      <c r="EG216" s="33"/>
      <c r="EH216" s="33"/>
      <c r="EI216" s="33"/>
      <c r="EJ216" s="33"/>
      <c r="EK216" s="33"/>
      <c r="EL216" s="33"/>
      <c r="EM216" s="33"/>
      <c r="EN216" s="33"/>
      <c r="EO216" s="33"/>
      <c r="EP216" s="33"/>
      <c r="EQ216" s="33"/>
      <c r="ER216" s="33"/>
      <c r="ES216" s="33"/>
      <c r="ET216" s="33"/>
      <c r="EU216" s="33"/>
      <c r="EV216" s="33"/>
      <c r="EW216" s="33"/>
      <c r="EX216" s="33"/>
      <c r="EY216" s="33"/>
      <c r="EZ216" s="33"/>
      <c r="FA216" s="40"/>
      <c r="FB216" s="40"/>
      <c r="FC216" s="40"/>
      <c r="FD216" s="40"/>
      <c r="FE216" s="40"/>
      <c r="FF216" s="40"/>
      <c r="FG216" s="40"/>
      <c r="FH216" s="40"/>
      <c r="FI216" s="40"/>
      <c r="FJ216" s="40"/>
      <c r="FK216" s="40"/>
      <c r="FL216" s="40"/>
      <c r="FM216" s="40"/>
      <c r="FN216" s="40"/>
      <c r="FO216" s="40"/>
      <c r="FP216" s="40"/>
      <c r="FQ216" s="40"/>
      <c r="FR216" s="40"/>
      <c r="FS216" s="40"/>
      <c r="FT216" s="40"/>
      <c r="FU216" s="40"/>
      <c r="FV216" s="40"/>
      <c r="FW216" s="40"/>
      <c r="FX216" s="40"/>
      <c r="FY216" s="40"/>
      <c r="FZ216" s="40"/>
      <c r="GA216" s="40"/>
    </row>
    <row r="217" ht="15.75" customHeight="1">
      <c r="A217" s="20" t="s">
        <v>471</v>
      </c>
      <c r="B217" s="20"/>
      <c r="C217" s="22"/>
      <c r="D217" s="22"/>
      <c r="E217" s="22"/>
      <c r="F217" s="22"/>
      <c r="G217" s="22"/>
      <c r="H217" s="22"/>
      <c r="I217" s="22"/>
      <c r="J217" s="22"/>
      <c r="K217" s="23"/>
      <c r="L217" s="23"/>
      <c r="M217" s="23"/>
      <c r="N217" s="23"/>
      <c r="O217" s="22"/>
      <c r="P217" s="24"/>
      <c r="Q217" s="24" t="str">
        <f t="shared" si="12"/>
        <v>fine-grained, altered, grey marble</v>
      </c>
      <c r="R217" s="20" t="s">
        <v>180</v>
      </c>
      <c r="S217" s="20" t="s">
        <v>181</v>
      </c>
      <c r="T217" s="20" t="s">
        <v>434</v>
      </c>
      <c r="U217" s="20" t="s">
        <v>195</v>
      </c>
      <c r="V217" s="22"/>
      <c r="W217" s="20" t="s">
        <v>166</v>
      </c>
      <c r="X217" s="20">
        <v>0.9</v>
      </c>
      <c r="Y217" s="20" t="s">
        <v>209</v>
      </c>
      <c r="Z217" s="20" t="s">
        <v>219</v>
      </c>
      <c r="AB217" s="106" t="s">
        <v>190</v>
      </c>
      <c r="AE217" s="110"/>
      <c r="AM217" s="22"/>
      <c r="AN217" s="22"/>
      <c r="AO217" s="43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V217" s="33"/>
      <c r="CW217" s="116"/>
      <c r="CX217" s="47"/>
      <c r="CY217" s="47"/>
      <c r="DJ217" s="33"/>
      <c r="DK217" s="33"/>
      <c r="DL217" s="33"/>
      <c r="DM217" s="33"/>
      <c r="DN217" s="33"/>
      <c r="DO217" s="33"/>
      <c r="DP217" s="33"/>
      <c r="DQ217" s="33"/>
      <c r="DR217" s="33"/>
      <c r="DS217" s="33"/>
      <c r="DT217" s="33"/>
      <c r="DU217" s="33"/>
      <c r="DV217" s="33"/>
      <c r="DW217" s="33"/>
      <c r="DX217" s="33"/>
      <c r="DY217" s="33"/>
      <c r="DZ217" s="33"/>
      <c r="EA217" s="33"/>
      <c r="EB217" s="33"/>
      <c r="EC217" s="33"/>
      <c r="ED217" s="33"/>
      <c r="EE217" s="33"/>
      <c r="EF217" s="33"/>
      <c r="EG217" s="33"/>
      <c r="EH217" s="33"/>
      <c r="EI217" s="33"/>
      <c r="EJ217" s="33"/>
      <c r="EK217" s="33"/>
      <c r="EL217" s="33"/>
      <c r="EM217" s="33"/>
      <c r="EN217" s="33"/>
      <c r="EO217" s="33"/>
      <c r="EP217" s="33"/>
      <c r="EQ217" s="33"/>
      <c r="ER217" s="33"/>
      <c r="ES217" s="33"/>
      <c r="ET217" s="33"/>
      <c r="EU217" s="33"/>
      <c r="EV217" s="33"/>
      <c r="EW217" s="33"/>
      <c r="EX217" s="33"/>
      <c r="EY217" s="33"/>
      <c r="EZ217" s="33"/>
      <c r="FA217" s="33"/>
      <c r="FB217" s="33"/>
      <c r="FC217" s="33"/>
      <c r="FD217" s="33"/>
      <c r="FE217" s="33"/>
      <c r="FF217" s="33"/>
      <c r="FG217" s="33"/>
      <c r="FH217" s="33"/>
      <c r="FI217" s="33"/>
      <c r="FJ217" s="33"/>
      <c r="FK217" s="33"/>
      <c r="FL217" s="33"/>
      <c r="FM217" s="33"/>
      <c r="FN217" s="33"/>
      <c r="FO217" s="33"/>
      <c r="FP217" s="33"/>
      <c r="FQ217" s="33"/>
      <c r="FR217" s="33"/>
      <c r="FS217" s="33"/>
      <c r="FT217" s="33"/>
      <c r="FU217" s="33"/>
      <c r="FV217" s="33"/>
      <c r="FW217" s="33"/>
      <c r="FX217" s="33"/>
      <c r="FY217" s="33"/>
      <c r="FZ217" s="33"/>
      <c r="GA217" s="33"/>
    </row>
    <row r="218" ht="15.75" customHeight="1">
      <c r="A218" s="20" t="s">
        <v>472</v>
      </c>
      <c r="B218" s="20"/>
      <c r="C218" s="22"/>
      <c r="D218" s="22"/>
      <c r="E218" s="22"/>
      <c r="F218" s="22"/>
      <c r="G218" s="22"/>
      <c r="H218" s="22"/>
      <c r="I218" s="22"/>
      <c r="J218" s="22"/>
      <c r="K218" s="23"/>
      <c r="L218" s="23"/>
      <c r="M218" s="23"/>
      <c r="N218" s="23"/>
      <c r="O218" s="22"/>
      <c r="P218" s="24"/>
      <c r="Q218" s="24" t="str">
        <f t="shared" si="12"/>
        <v>fine-grained, veined, white marble</v>
      </c>
      <c r="R218" s="20" t="s">
        <v>180</v>
      </c>
      <c r="S218" s="20" t="s">
        <v>189</v>
      </c>
      <c r="T218" s="20" t="s">
        <v>206</v>
      </c>
      <c r="U218" s="20" t="s">
        <v>181</v>
      </c>
      <c r="V218" s="22"/>
      <c r="W218" s="20" t="s">
        <v>166</v>
      </c>
      <c r="X218" s="20">
        <v>0.9</v>
      </c>
      <c r="Y218" s="20" t="s">
        <v>209</v>
      </c>
      <c r="Z218" s="20" t="s">
        <v>219</v>
      </c>
      <c r="AB218" s="106" t="s">
        <v>190</v>
      </c>
      <c r="AE218" s="110"/>
      <c r="AM218" s="22"/>
      <c r="AN218" s="22"/>
      <c r="AO218" s="43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V218" s="33"/>
      <c r="CW218" s="116"/>
      <c r="CX218" s="47"/>
      <c r="CY218" s="47"/>
      <c r="DJ218" s="33"/>
      <c r="DK218" s="33"/>
      <c r="DL218" s="33"/>
      <c r="DM218" s="33"/>
      <c r="DN218" s="33"/>
      <c r="DO218" s="33"/>
      <c r="DP218" s="33"/>
      <c r="DQ218" s="33"/>
      <c r="DR218" s="33"/>
      <c r="DS218" s="33"/>
      <c r="DT218" s="33"/>
      <c r="DU218" s="33"/>
      <c r="DV218" s="33"/>
      <c r="DW218" s="33"/>
      <c r="DX218" s="33"/>
      <c r="DY218" s="33"/>
      <c r="DZ218" s="33"/>
      <c r="EA218" s="33"/>
      <c r="EB218" s="33"/>
      <c r="EC218" s="33"/>
      <c r="ED218" s="33"/>
      <c r="EE218" s="33"/>
      <c r="EF218" s="33"/>
      <c r="EG218" s="33"/>
      <c r="EH218" s="33"/>
      <c r="EI218" s="33"/>
      <c r="EJ218" s="33"/>
      <c r="EK218" s="33"/>
      <c r="EL218" s="33"/>
      <c r="EM218" s="33"/>
      <c r="EN218" s="33"/>
      <c r="EO218" s="33"/>
      <c r="EP218" s="33"/>
      <c r="EQ218" s="33"/>
      <c r="ER218" s="33"/>
      <c r="ES218" s="33"/>
      <c r="ET218" s="33"/>
      <c r="EU218" s="33"/>
      <c r="EV218" s="33"/>
      <c r="EW218" s="33"/>
      <c r="EX218" s="33"/>
      <c r="EY218" s="33"/>
      <c r="EZ218" s="33"/>
      <c r="FA218" s="33"/>
      <c r="FB218" s="33"/>
      <c r="FC218" s="33"/>
      <c r="FD218" s="33"/>
      <c r="FE218" s="33"/>
      <c r="FF218" s="33"/>
      <c r="FG218" s="33"/>
      <c r="FH218" s="33"/>
      <c r="FI218" s="33"/>
      <c r="FJ218" s="33"/>
      <c r="FK218" s="33"/>
      <c r="FL218" s="33"/>
      <c r="FM218" s="33"/>
      <c r="FN218" s="33"/>
      <c r="FO218" s="33"/>
      <c r="FP218" s="33"/>
      <c r="FQ218" s="33"/>
      <c r="FR218" s="33"/>
      <c r="FS218" s="33"/>
      <c r="FT218" s="33"/>
      <c r="FU218" s="33"/>
      <c r="FV218" s="33"/>
      <c r="FW218" s="33"/>
      <c r="FX218" s="33"/>
      <c r="FY218" s="33"/>
      <c r="FZ218" s="33"/>
      <c r="GA218" s="33"/>
    </row>
    <row r="219" ht="15.75" customHeight="1">
      <c r="A219" s="20" t="s">
        <v>473</v>
      </c>
      <c r="B219" s="20"/>
      <c r="C219" s="22"/>
      <c r="D219" s="22"/>
      <c r="E219" s="22"/>
      <c r="F219" s="22"/>
      <c r="G219" s="22"/>
      <c r="H219" s="22"/>
      <c r="I219" s="22"/>
      <c r="J219" s="22"/>
      <c r="K219" s="23"/>
      <c r="L219" s="23"/>
      <c r="M219" s="23"/>
      <c r="N219" s="23"/>
      <c r="O219" s="22"/>
      <c r="P219" s="24"/>
      <c r="Q219" s="24" t="str">
        <f t="shared" si="12"/>
        <v>fine-grained, veined and spotted, grey marble</v>
      </c>
      <c r="R219" s="20" t="s">
        <v>180</v>
      </c>
      <c r="S219" s="20" t="s">
        <v>181</v>
      </c>
      <c r="T219" s="20" t="s">
        <v>474</v>
      </c>
      <c r="U219" s="20" t="s">
        <v>189</v>
      </c>
      <c r="V219" s="22"/>
      <c r="W219" s="20" t="s">
        <v>166</v>
      </c>
      <c r="X219" s="20">
        <v>0.9</v>
      </c>
      <c r="Y219" s="20" t="s">
        <v>196</v>
      </c>
      <c r="Z219" s="20" t="s">
        <v>219</v>
      </c>
      <c r="AB219" s="106" t="s">
        <v>190</v>
      </c>
      <c r="AE219" s="110"/>
      <c r="AM219" s="22"/>
      <c r="AN219" s="22"/>
      <c r="AO219" s="43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V219" s="33"/>
      <c r="CW219" s="116"/>
      <c r="CX219" s="47"/>
      <c r="CY219" s="47"/>
      <c r="DJ219" s="33"/>
      <c r="DK219" s="33"/>
      <c r="DL219" s="33"/>
      <c r="DM219" s="33"/>
      <c r="DN219" s="33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  <c r="ED219" s="33"/>
      <c r="EE219" s="33"/>
      <c r="EF219" s="33"/>
      <c r="EG219" s="33"/>
      <c r="EH219" s="33"/>
      <c r="EI219" s="33"/>
      <c r="EJ219" s="33"/>
      <c r="EK219" s="33"/>
      <c r="EL219" s="33"/>
      <c r="EM219" s="33"/>
      <c r="EN219" s="33"/>
      <c r="EO219" s="33"/>
      <c r="EP219" s="33"/>
      <c r="EQ219" s="33"/>
      <c r="ER219" s="33"/>
      <c r="ES219" s="33"/>
      <c r="ET219" s="33"/>
      <c r="EU219" s="33"/>
      <c r="EV219" s="33"/>
      <c r="EW219" s="33"/>
      <c r="EX219" s="33"/>
      <c r="EY219" s="33"/>
      <c r="EZ219" s="33"/>
      <c r="FA219" s="33"/>
      <c r="FB219" s="33"/>
      <c r="FC219" s="33"/>
      <c r="FD219" s="33"/>
      <c r="FE219" s="33"/>
      <c r="FF219" s="33"/>
      <c r="FG219" s="33"/>
      <c r="FH219" s="33"/>
      <c r="FI219" s="33"/>
      <c r="FJ219" s="33"/>
      <c r="FK219" s="33"/>
      <c r="FL219" s="33"/>
      <c r="FM219" s="33"/>
      <c r="FN219" s="33"/>
      <c r="FO219" s="33"/>
      <c r="FP219" s="33"/>
      <c r="FQ219" s="33"/>
      <c r="FR219" s="33"/>
      <c r="FS219" s="33"/>
      <c r="FT219" s="33"/>
      <c r="FU219" s="33"/>
      <c r="FV219" s="33"/>
      <c r="FW219" s="33"/>
      <c r="FX219" s="33"/>
      <c r="FY219" s="33"/>
      <c r="FZ219" s="33"/>
      <c r="GA219" s="33"/>
    </row>
    <row r="220" ht="15.75" customHeight="1">
      <c r="A220" s="20" t="s">
        <v>475</v>
      </c>
      <c r="B220" s="20"/>
      <c r="C220" s="22"/>
      <c r="D220" s="22"/>
      <c r="E220" s="22"/>
      <c r="F220" s="22"/>
      <c r="G220" s="22"/>
      <c r="H220" s="22"/>
      <c r="I220" s="22"/>
      <c r="J220" s="22"/>
      <c r="K220" s="23"/>
      <c r="L220" s="23"/>
      <c r="M220" s="23"/>
      <c r="N220" s="23"/>
      <c r="O220" s="22"/>
      <c r="P220" s="24"/>
      <c r="Q220" s="24" t="str">
        <f t="shared" si="12"/>
        <v>fine-grained, banded, grey marble</v>
      </c>
      <c r="R220" s="20" t="s">
        <v>180</v>
      </c>
      <c r="S220" s="20" t="s">
        <v>181</v>
      </c>
      <c r="T220" s="20" t="s">
        <v>182</v>
      </c>
      <c r="U220" s="20" t="s">
        <v>189</v>
      </c>
      <c r="V220" s="22"/>
      <c r="W220" s="20" t="s">
        <v>166</v>
      </c>
      <c r="X220" s="20">
        <v>0.8</v>
      </c>
      <c r="Y220" s="20" t="s">
        <v>196</v>
      </c>
      <c r="Z220" s="20" t="s">
        <v>213</v>
      </c>
      <c r="AB220" s="106" t="s">
        <v>190</v>
      </c>
      <c r="AE220" s="110"/>
      <c r="AM220" s="22"/>
      <c r="AN220" s="22"/>
      <c r="AO220" s="43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V220" s="33"/>
      <c r="CW220" s="116"/>
      <c r="CX220" s="47"/>
      <c r="CY220" s="47"/>
      <c r="DJ220" s="33"/>
      <c r="DK220" s="33"/>
      <c r="DL220" s="33"/>
      <c r="DM220" s="33"/>
      <c r="DN220" s="33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  <c r="EE220" s="33"/>
      <c r="EF220" s="33"/>
      <c r="EG220" s="33"/>
      <c r="EH220" s="3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  <c r="ET220" s="33"/>
      <c r="EU220" s="33"/>
      <c r="EV220" s="33"/>
      <c r="EW220" s="33"/>
      <c r="EX220" s="33"/>
      <c r="EY220" s="33"/>
      <c r="EZ220" s="33"/>
      <c r="FA220" s="33"/>
      <c r="FB220" s="33"/>
      <c r="FC220" s="33"/>
      <c r="FD220" s="33"/>
      <c r="FE220" s="33"/>
      <c r="FF220" s="33"/>
      <c r="FG220" s="33"/>
      <c r="FH220" s="33"/>
      <c r="FI220" s="33"/>
      <c r="FJ220" s="33"/>
      <c r="FK220" s="33"/>
      <c r="FL220" s="33"/>
      <c r="FM220" s="33"/>
      <c r="FN220" s="33"/>
      <c r="FO220" s="33"/>
      <c r="FP220" s="33"/>
      <c r="FQ220" s="33"/>
      <c r="FR220" s="33"/>
      <c r="FS220" s="33"/>
      <c r="FT220" s="33"/>
      <c r="FU220" s="33"/>
      <c r="FV220" s="33"/>
      <c r="FW220" s="33"/>
      <c r="FX220" s="33"/>
      <c r="FY220" s="33"/>
      <c r="FZ220" s="33"/>
      <c r="GA220" s="33"/>
    </row>
    <row r="221" ht="15.75" customHeight="1">
      <c r="A221" s="20" t="s">
        <v>476</v>
      </c>
      <c r="B221" s="20"/>
      <c r="C221" s="22"/>
      <c r="D221" s="22"/>
      <c r="E221" s="22"/>
      <c r="F221" s="22"/>
      <c r="G221" s="22"/>
      <c r="H221" s="22"/>
      <c r="I221" s="22"/>
      <c r="J221" s="22"/>
      <c r="K221" s="23"/>
      <c r="L221" s="62"/>
      <c r="M221" s="23"/>
      <c r="N221" s="23"/>
      <c r="O221" s="22"/>
      <c r="P221" s="24"/>
      <c r="Q221" s="24" t="str">
        <f t="shared" si="12"/>
        <v>very fine-grained, veined, white marble</v>
      </c>
      <c r="R221" s="20" t="s">
        <v>188</v>
      </c>
      <c r="S221" s="20" t="s">
        <v>189</v>
      </c>
      <c r="T221" s="20" t="s">
        <v>206</v>
      </c>
      <c r="U221" s="20" t="s">
        <v>374</v>
      </c>
      <c r="V221" s="20"/>
      <c r="W221" s="20" t="s">
        <v>166</v>
      </c>
      <c r="X221" s="20">
        <v>0.4</v>
      </c>
      <c r="Y221" s="20" t="s">
        <v>196</v>
      </c>
      <c r="Z221" s="20" t="s">
        <v>219</v>
      </c>
      <c r="AA221" s="33"/>
      <c r="AB221" s="50"/>
      <c r="AC221" s="50"/>
      <c r="AD221" s="50"/>
      <c r="AE221" s="36"/>
      <c r="AF221" s="50"/>
      <c r="AG221" s="50"/>
      <c r="AH221" s="33"/>
      <c r="AI221" s="33"/>
      <c r="AJ221" s="33"/>
      <c r="AK221" s="33"/>
      <c r="AL221" s="33"/>
      <c r="AM221" s="22"/>
      <c r="AN221" s="22"/>
      <c r="AO221" s="43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140"/>
      <c r="CX221" s="38"/>
      <c r="CY221" s="38"/>
      <c r="CZ221" s="50"/>
      <c r="DA221" s="33"/>
      <c r="DB221" s="33"/>
      <c r="DC221" s="33"/>
      <c r="DD221" s="33"/>
      <c r="DE221" s="33"/>
      <c r="DF221" s="33"/>
      <c r="DG221" s="33"/>
      <c r="DH221" s="33"/>
      <c r="DI221" s="33"/>
      <c r="DJ221" s="106"/>
      <c r="DK221" s="33"/>
      <c r="DL221" s="33"/>
      <c r="DM221" s="33"/>
      <c r="DN221" s="33"/>
      <c r="DO221" s="33"/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  <c r="ED221" s="33"/>
      <c r="EE221" s="33"/>
      <c r="EF221" s="33"/>
      <c r="EG221" s="33"/>
      <c r="EH221" s="33"/>
      <c r="EI221" s="33"/>
      <c r="EJ221" s="33"/>
      <c r="EK221" s="33"/>
      <c r="EL221" s="33"/>
      <c r="EM221" s="33"/>
      <c r="EN221" s="33"/>
      <c r="EO221" s="33"/>
      <c r="EP221" s="33"/>
      <c r="EQ221" s="33"/>
      <c r="ER221" s="33"/>
      <c r="ES221" s="33"/>
      <c r="ET221" s="33"/>
      <c r="EU221" s="33"/>
      <c r="EV221" s="33"/>
      <c r="EW221" s="33"/>
      <c r="EX221" s="33"/>
      <c r="EY221" s="33"/>
      <c r="EZ221" s="33"/>
      <c r="FA221" s="33"/>
      <c r="FB221" s="33"/>
      <c r="FC221" s="33"/>
      <c r="FD221" s="33"/>
      <c r="FE221" s="33"/>
      <c r="FF221" s="33"/>
      <c r="FG221" s="33"/>
      <c r="FH221" s="33"/>
      <c r="FI221" s="33"/>
      <c r="FJ221" s="33"/>
      <c r="FK221" s="33"/>
      <c r="FL221" s="33"/>
      <c r="FM221" s="33"/>
      <c r="FN221" s="33"/>
      <c r="FO221" s="33"/>
      <c r="FP221" s="33"/>
      <c r="FQ221" s="33"/>
      <c r="FR221" s="33"/>
      <c r="FS221" s="33"/>
      <c r="FT221" s="33"/>
      <c r="FU221" s="33"/>
      <c r="FV221" s="33"/>
      <c r="FW221" s="33"/>
      <c r="FX221" s="33"/>
      <c r="FY221" s="33"/>
      <c r="FZ221" s="33"/>
      <c r="GA221" s="33"/>
    </row>
    <row r="222" ht="15.75" customHeight="1">
      <c r="A222" s="20" t="s">
        <v>477</v>
      </c>
      <c r="B222" s="20"/>
      <c r="C222" s="22"/>
      <c r="D222" s="22"/>
      <c r="E222" s="22"/>
      <c r="F222" s="22"/>
      <c r="G222" s="22"/>
      <c r="H222" s="22"/>
      <c r="I222" s="22"/>
      <c r="J222" s="22"/>
      <c r="K222" s="23"/>
      <c r="L222" s="62"/>
      <c r="M222" s="23"/>
      <c r="N222" s="23"/>
      <c r="O222" s="22"/>
      <c r="P222" s="24"/>
      <c r="Q222" s="24" t="str">
        <f t="shared" si="12"/>
        <v>very fine-grained, veined, white marble</v>
      </c>
      <c r="R222" s="20" t="s">
        <v>188</v>
      </c>
      <c r="S222" s="20" t="s">
        <v>189</v>
      </c>
      <c r="T222" s="20" t="s">
        <v>206</v>
      </c>
      <c r="U222" s="20" t="s">
        <v>374</v>
      </c>
      <c r="V222" s="20"/>
      <c r="W222" s="20" t="s">
        <v>166</v>
      </c>
      <c r="X222" s="20">
        <v>0.4</v>
      </c>
      <c r="Y222" s="20" t="s">
        <v>196</v>
      </c>
      <c r="Z222" s="20" t="s">
        <v>219</v>
      </c>
      <c r="AA222" s="33"/>
      <c r="AB222" s="50"/>
      <c r="AC222" s="50"/>
      <c r="AD222" s="50"/>
      <c r="AE222" s="36"/>
      <c r="AF222" s="50"/>
      <c r="AG222" s="50"/>
      <c r="AH222" s="33"/>
      <c r="AI222" s="33"/>
      <c r="AJ222" s="33"/>
      <c r="AK222" s="33"/>
      <c r="AL222" s="33"/>
      <c r="AM222" s="22"/>
      <c r="AN222" s="22"/>
      <c r="AO222" s="43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33"/>
      <c r="CF222" s="33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  <c r="CW222" s="140"/>
      <c r="CX222" s="38"/>
      <c r="CY222" s="38"/>
      <c r="CZ222" s="50"/>
      <c r="DA222" s="33"/>
      <c r="DB222" s="33"/>
      <c r="DC222" s="33"/>
      <c r="DD222" s="33"/>
      <c r="DE222" s="33"/>
      <c r="DF222" s="33"/>
      <c r="DG222" s="33"/>
      <c r="DH222" s="33"/>
      <c r="DI222" s="33"/>
      <c r="DJ222" s="106"/>
      <c r="DK222" s="33"/>
      <c r="DL222" s="33"/>
      <c r="DM222" s="33"/>
      <c r="DN222" s="33"/>
      <c r="DO222" s="33"/>
      <c r="DP222" s="33"/>
      <c r="DQ222" s="33"/>
      <c r="DR222" s="33"/>
      <c r="DS222" s="33"/>
      <c r="DT222" s="33"/>
      <c r="DU222" s="33"/>
      <c r="DV222" s="33"/>
      <c r="DW222" s="33"/>
      <c r="DX222" s="33"/>
      <c r="DY222" s="33"/>
      <c r="DZ222" s="33"/>
      <c r="EA222" s="33"/>
      <c r="EB222" s="33"/>
      <c r="EC222" s="33"/>
      <c r="ED222" s="33"/>
      <c r="EE222" s="33"/>
      <c r="EF222" s="33"/>
      <c r="EG222" s="33"/>
      <c r="EH222" s="33"/>
      <c r="EI222" s="33"/>
      <c r="EJ222" s="33"/>
      <c r="EK222" s="33"/>
      <c r="EL222" s="33"/>
      <c r="EM222" s="33"/>
      <c r="EN222" s="33"/>
      <c r="EO222" s="33"/>
      <c r="EP222" s="33"/>
      <c r="EQ222" s="33"/>
      <c r="ER222" s="33"/>
      <c r="ES222" s="33"/>
      <c r="ET222" s="33"/>
      <c r="EU222" s="33"/>
      <c r="EV222" s="33"/>
      <c r="EW222" s="33"/>
      <c r="EX222" s="33"/>
      <c r="EY222" s="33"/>
      <c r="EZ222" s="33"/>
      <c r="FA222" s="33"/>
      <c r="FB222" s="33"/>
      <c r="FC222" s="33"/>
      <c r="FD222" s="33"/>
      <c r="FE222" s="33"/>
      <c r="FF222" s="33"/>
      <c r="FG222" s="33"/>
      <c r="FH222" s="33"/>
      <c r="FI222" s="33"/>
      <c r="FJ222" s="33"/>
      <c r="FK222" s="33"/>
      <c r="FL222" s="33"/>
      <c r="FM222" s="33"/>
      <c r="FN222" s="33"/>
      <c r="FO222" s="33"/>
      <c r="FP222" s="33"/>
      <c r="FQ222" s="33"/>
      <c r="FR222" s="33"/>
      <c r="FS222" s="33"/>
      <c r="FT222" s="33"/>
      <c r="FU222" s="33"/>
      <c r="FV222" s="33"/>
      <c r="FW222" s="33"/>
      <c r="FX222" s="33"/>
      <c r="FY222" s="33"/>
      <c r="FZ222" s="33"/>
      <c r="GA222" s="33"/>
    </row>
    <row r="223" ht="15.75" customHeight="1">
      <c r="A223" s="20" t="s">
        <v>478</v>
      </c>
      <c r="B223" s="20"/>
      <c r="C223" s="22"/>
      <c r="D223" s="22"/>
      <c r="E223" s="22"/>
      <c r="F223" s="22"/>
      <c r="G223" s="22"/>
      <c r="H223" s="22"/>
      <c r="I223" s="22"/>
      <c r="J223" s="22"/>
      <c r="K223" s="48" t="s">
        <v>479</v>
      </c>
      <c r="L223" s="23"/>
      <c r="M223" s="23"/>
      <c r="N223" s="23"/>
      <c r="O223" s="22" t="s">
        <v>164</v>
      </c>
      <c r="P223" s="24"/>
      <c r="Q223" s="24" t="str">
        <f t="shared" si="12"/>
        <v>very fine-grained, homogeneous, white marble</v>
      </c>
      <c r="R223" s="20" t="s">
        <v>188</v>
      </c>
      <c r="S223" s="20" t="s">
        <v>189</v>
      </c>
      <c r="T223" s="20" t="s">
        <v>194</v>
      </c>
      <c r="U223" s="20" t="s">
        <v>195</v>
      </c>
      <c r="V223" s="20" t="s">
        <v>190</v>
      </c>
      <c r="W223" s="20" t="s">
        <v>166</v>
      </c>
      <c r="X223" s="20">
        <v>0.7</v>
      </c>
      <c r="Y223" s="20" t="s">
        <v>209</v>
      </c>
      <c r="Z223" s="20" t="s">
        <v>184</v>
      </c>
      <c r="AA223" s="33"/>
      <c r="AB223" s="50" t="s">
        <v>166</v>
      </c>
      <c r="AC223" s="50">
        <v>0.6</v>
      </c>
      <c r="AD223" s="50" t="s">
        <v>196</v>
      </c>
      <c r="AE223" s="36" t="s">
        <v>198</v>
      </c>
      <c r="AF223" s="50" t="s">
        <v>166</v>
      </c>
      <c r="AG223" s="50" t="s">
        <v>166</v>
      </c>
      <c r="AH223" s="33" t="s">
        <v>164</v>
      </c>
      <c r="AI223" s="33" t="s">
        <v>164</v>
      </c>
      <c r="AJ223" s="33" t="s">
        <v>164</v>
      </c>
      <c r="AK223" s="33" t="s">
        <v>164</v>
      </c>
      <c r="AL223" s="33" t="s">
        <v>164</v>
      </c>
      <c r="AM223" s="22"/>
      <c r="AN223" s="22"/>
      <c r="AO223" s="43">
        <f t="shared" ref="AO223:AO229" si="14">SUM(AP223,AQ223,AR223)</f>
        <v>0</v>
      </c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 t="s">
        <v>164</v>
      </c>
      <c r="BF223" s="22" t="s">
        <v>164</v>
      </c>
      <c r="BG223" s="22" t="s">
        <v>164</v>
      </c>
      <c r="BH223" s="22" t="s">
        <v>164</v>
      </c>
      <c r="BI223" s="22"/>
      <c r="BJ223" s="22" t="s">
        <v>164</v>
      </c>
      <c r="BK223" s="22"/>
      <c r="BL223" s="22" t="s">
        <v>164</v>
      </c>
      <c r="BM223" s="22"/>
      <c r="BN223" s="22" t="s">
        <v>164</v>
      </c>
      <c r="BO223" s="22"/>
      <c r="BP223" s="22"/>
      <c r="BQ223" s="22"/>
      <c r="BR223" s="22" t="s">
        <v>164</v>
      </c>
      <c r="BS223" s="22"/>
      <c r="BT223" s="22" t="s">
        <v>164</v>
      </c>
      <c r="BU223" s="22"/>
      <c r="BV223" s="22"/>
      <c r="BW223" s="22"/>
      <c r="BX223" s="22" t="s">
        <v>164</v>
      </c>
      <c r="BY223" s="22"/>
      <c r="BZ223" s="22" t="s">
        <v>164</v>
      </c>
      <c r="CA223" s="22"/>
      <c r="CB223" s="22" t="s">
        <v>164</v>
      </c>
      <c r="CC223" s="22"/>
      <c r="CD223" s="22" t="s">
        <v>164</v>
      </c>
      <c r="CE223" s="33" t="s">
        <v>164</v>
      </c>
      <c r="CF223" s="33" t="s">
        <v>164</v>
      </c>
      <c r="CG223" s="33" t="s">
        <v>164</v>
      </c>
      <c r="CH223" s="33" t="s">
        <v>164</v>
      </c>
      <c r="CI223" s="33" t="s">
        <v>164</v>
      </c>
      <c r="CJ223" s="33" t="s">
        <v>164</v>
      </c>
      <c r="CK223" s="33" t="s">
        <v>164</v>
      </c>
      <c r="CL223" s="33" t="s">
        <v>164</v>
      </c>
      <c r="CM223" s="33" t="s">
        <v>164</v>
      </c>
      <c r="CN223" s="33" t="s">
        <v>164</v>
      </c>
      <c r="CO223" s="33" t="s">
        <v>164</v>
      </c>
      <c r="CP223" s="33" t="s">
        <v>164</v>
      </c>
      <c r="CQ223" s="33" t="s">
        <v>164</v>
      </c>
      <c r="CR223" s="33" t="s">
        <v>164</v>
      </c>
      <c r="CS223" s="33" t="s">
        <v>164</v>
      </c>
      <c r="CT223" s="33" t="s">
        <v>164</v>
      </c>
      <c r="CU223" s="33" t="s">
        <v>164</v>
      </c>
      <c r="CV223" s="33" t="s">
        <v>164</v>
      </c>
      <c r="CW223" s="140" t="s">
        <v>166</v>
      </c>
      <c r="CX223" s="38">
        <v>2.45</v>
      </c>
      <c r="CY223" s="38">
        <v>-4.72</v>
      </c>
      <c r="CZ223" s="50" t="s">
        <v>166</v>
      </c>
      <c r="DA223" s="33" t="s">
        <v>164</v>
      </c>
      <c r="DB223" s="33" t="s">
        <v>164</v>
      </c>
      <c r="DC223" s="33" t="s">
        <v>164</v>
      </c>
      <c r="DD223" s="33" t="s">
        <v>164</v>
      </c>
      <c r="DE223" s="33" t="s">
        <v>164</v>
      </c>
      <c r="DF223" s="33" t="s">
        <v>164</v>
      </c>
      <c r="DG223" s="33" t="s">
        <v>164</v>
      </c>
      <c r="DH223" s="33" t="s">
        <v>164</v>
      </c>
      <c r="DI223" s="33" t="s">
        <v>164</v>
      </c>
      <c r="DJ223" s="106" t="s">
        <v>166</v>
      </c>
      <c r="DK223" s="52">
        <v>1.37</v>
      </c>
      <c r="DL223" s="52">
        <v>34.6</v>
      </c>
      <c r="DM223" s="52">
        <v>155.57</v>
      </c>
      <c r="DN223" s="52">
        <v>11644.87</v>
      </c>
      <c r="DO223" s="52">
        <v>1.006299775</v>
      </c>
      <c r="DP223" s="52">
        <v>5.41</v>
      </c>
      <c r="DQ223" s="52">
        <v>2.09</v>
      </c>
      <c r="DR223" s="52">
        <v>17.7</v>
      </c>
      <c r="DS223" s="52">
        <v>4.51</v>
      </c>
      <c r="DT223" s="52">
        <v>2329.71</v>
      </c>
      <c r="DU223" s="52">
        <v>3471.01</v>
      </c>
      <c r="DV223" s="52">
        <v>2.22</v>
      </c>
      <c r="DW223" s="52">
        <v>39.56</v>
      </c>
      <c r="DX223" s="52">
        <v>6.16</v>
      </c>
      <c r="DY223" s="52">
        <v>22.79</v>
      </c>
      <c r="DZ223" s="52">
        <v>0.12</v>
      </c>
      <c r="EA223" s="52">
        <v>0.44</v>
      </c>
      <c r="EB223" s="52">
        <v>0.72</v>
      </c>
      <c r="EC223" s="52">
        <v>1697.72</v>
      </c>
      <c r="ED223" s="52">
        <v>48.85</v>
      </c>
      <c r="EE223" s="52">
        <v>2.7</v>
      </c>
      <c r="EF223" s="52">
        <v>0.02</v>
      </c>
      <c r="EG223" s="52">
        <v>0.02</v>
      </c>
      <c r="EH223" s="52">
        <v>1.01</v>
      </c>
      <c r="EI223" s="52">
        <v>0.55</v>
      </c>
      <c r="EJ223" s="52">
        <v>0.13</v>
      </c>
      <c r="EK223" s="52">
        <v>3.57</v>
      </c>
      <c r="EL223" s="52">
        <v>11.14</v>
      </c>
      <c r="EM223" s="52">
        <v>5.64</v>
      </c>
      <c r="EN223" s="52">
        <v>9.23</v>
      </c>
      <c r="EO223" s="52">
        <v>1.72</v>
      </c>
      <c r="EP223" s="52">
        <v>0.56</v>
      </c>
      <c r="EQ223" s="52">
        <v>4.5</v>
      </c>
      <c r="ER223" s="52">
        <v>4.12</v>
      </c>
      <c r="ES223" s="52">
        <v>3.88</v>
      </c>
      <c r="ET223" s="52">
        <v>1.872716888</v>
      </c>
      <c r="EU223" s="52">
        <v>0.05</v>
      </c>
      <c r="EV223" s="52">
        <v>18.18</v>
      </c>
      <c r="EW223" s="52">
        <v>87.1</v>
      </c>
      <c r="EX223" s="52">
        <v>126.39</v>
      </c>
      <c r="EY223" s="52">
        <v>0.06</v>
      </c>
      <c r="EZ223" s="33"/>
      <c r="FA223" s="33"/>
      <c r="FB223" s="33"/>
      <c r="FC223" s="33"/>
      <c r="FD223" s="33"/>
      <c r="FE223" s="33"/>
      <c r="FF223" s="33"/>
      <c r="FG223" s="33"/>
      <c r="FH223" s="33"/>
      <c r="FI223" s="33"/>
      <c r="FJ223" s="33"/>
      <c r="FK223" s="33"/>
      <c r="FL223" s="33"/>
      <c r="FM223" s="33"/>
      <c r="FN223" s="33"/>
      <c r="FO223" s="33"/>
      <c r="FP223" s="33"/>
      <c r="FQ223" s="33"/>
      <c r="FR223" s="33"/>
      <c r="FS223" s="33"/>
      <c r="FT223" s="33"/>
      <c r="FU223" s="33"/>
      <c r="FV223" s="33"/>
      <c r="FW223" s="33"/>
      <c r="FX223" s="33"/>
      <c r="FY223" s="33"/>
      <c r="FZ223" s="33"/>
      <c r="GA223" s="33"/>
    </row>
    <row r="224" ht="15.75" customHeight="1">
      <c r="A224" s="20" t="s">
        <v>480</v>
      </c>
      <c r="B224" s="20"/>
      <c r="C224" s="22"/>
      <c r="D224" s="22"/>
      <c r="E224" s="22"/>
      <c r="F224" s="22"/>
      <c r="G224" s="22"/>
      <c r="H224" s="22"/>
      <c r="I224" s="22"/>
      <c r="J224" s="22"/>
      <c r="K224" s="62" t="s">
        <v>481</v>
      </c>
      <c r="L224" s="23"/>
      <c r="M224" s="23"/>
      <c r="N224" s="23"/>
      <c r="O224" s="22" t="s">
        <v>164</v>
      </c>
      <c r="P224" s="24"/>
      <c r="Q224" s="24" t="str">
        <f t="shared" si="12"/>
        <v>fine-grained, veined, white marble</v>
      </c>
      <c r="R224" s="20" t="s">
        <v>180</v>
      </c>
      <c r="S224" s="20" t="s">
        <v>189</v>
      </c>
      <c r="T224" s="20" t="s">
        <v>206</v>
      </c>
      <c r="U224" s="20" t="s">
        <v>181</v>
      </c>
      <c r="V224" s="20" t="s">
        <v>190</v>
      </c>
      <c r="W224" s="20" t="s">
        <v>166</v>
      </c>
      <c r="X224" s="20">
        <v>0.9</v>
      </c>
      <c r="Y224" s="20" t="s">
        <v>196</v>
      </c>
      <c r="Z224" s="20" t="s">
        <v>198</v>
      </c>
      <c r="AA224" s="33"/>
      <c r="AB224" s="50" t="s">
        <v>166</v>
      </c>
      <c r="AC224" s="50">
        <v>0.8</v>
      </c>
      <c r="AD224" s="50" t="s">
        <v>209</v>
      </c>
      <c r="AE224" s="36" t="s">
        <v>198</v>
      </c>
      <c r="AF224" s="33" t="s">
        <v>164</v>
      </c>
      <c r="AG224" s="50" t="s">
        <v>166</v>
      </c>
      <c r="AH224" s="33" t="s">
        <v>164</v>
      </c>
      <c r="AI224" s="33" t="s">
        <v>164</v>
      </c>
      <c r="AJ224" s="33" t="s">
        <v>164</v>
      </c>
      <c r="AK224" s="33" t="s">
        <v>164</v>
      </c>
      <c r="AL224" s="33" t="s">
        <v>164</v>
      </c>
      <c r="AM224" s="22"/>
      <c r="AN224" s="22"/>
      <c r="AO224" s="43">
        <f t="shared" si="14"/>
        <v>0</v>
      </c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 t="s">
        <v>164</v>
      </c>
      <c r="BF224" s="22" t="s">
        <v>164</v>
      </c>
      <c r="BG224" s="22" t="s">
        <v>164</v>
      </c>
      <c r="BH224" s="22" t="s">
        <v>164</v>
      </c>
      <c r="BI224" s="22"/>
      <c r="BJ224" s="22" t="s">
        <v>164</v>
      </c>
      <c r="BK224" s="22"/>
      <c r="BL224" s="22" t="s">
        <v>164</v>
      </c>
      <c r="BM224" s="22"/>
      <c r="BN224" s="22" t="s">
        <v>164</v>
      </c>
      <c r="BO224" s="22"/>
      <c r="BP224" s="22"/>
      <c r="BQ224" s="22"/>
      <c r="BR224" s="22" t="s">
        <v>164</v>
      </c>
      <c r="BS224" s="22"/>
      <c r="BT224" s="22" t="s">
        <v>164</v>
      </c>
      <c r="BU224" s="22"/>
      <c r="BV224" s="22"/>
      <c r="BW224" s="22"/>
      <c r="BX224" s="22" t="s">
        <v>164</v>
      </c>
      <c r="BY224" s="22"/>
      <c r="BZ224" s="22" t="s">
        <v>164</v>
      </c>
      <c r="CA224" s="22"/>
      <c r="CB224" s="22" t="s">
        <v>164</v>
      </c>
      <c r="CC224" s="22"/>
      <c r="CD224" s="22" t="s">
        <v>164</v>
      </c>
      <c r="CE224" s="33" t="s">
        <v>164</v>
      </c>
      <c r="CF224" s="33" t="s">
        <v>164</v>
      </c>
      <c r="CG224" s="33" t="s">
        <v>164</v>
      </c>
      <c r="CH224" s="33" t="s">
        <v>164</v>
      </c>
      <c r="CI224" s="33" t="s">
        <v>164</v>
      </c>
      <c r="CJ224" s="33" t="s">
        <v>164</v>
      </c>
      <c r="CK224" s="33" t="s">
        <v>164</v>
      </c>
      <c r="CL224" s="33" t="s">
        <v>164</v>
      </c>
      <c r="CM224" s="33" t="s">
        <v>164</v>
      </c>
      <c r="CN224" s="33" t="s">
        <v>164</v>
      </c>
      <c r="CO224" s="33" t="s">
        <v>164</v>
      </c>
      <c r="CP224" s="33" t="s">
        <v>164</v>
      </c>
      <c r="CQ224" s="33" t="s">
        <v>164</v>
      </c>
      <c r="CR224" s="33" t="s">
        <v>164</v>
      </c>
      <c r="CS224" s="33" t="s">
        <v>164</v>
      </c>
      <c r="CT224" s="33" t="s">
        <v>164</v>
      </c>
      <c r="CU224" s="33" t="s">
        <v>164</v>
      </c>
      <c r="CV224" s="33" t="s">
        <v>164</v>
      </c>
      <c r="CW224" s="140" t="s">
        <v>166</v>
      </c>
      <c r="CX224" s="38">
        <v>3.1</v>
      </c>
      <c r="CY224" s="38">
        <v>-2.73</v>
      </c>
      <c r="CZ224" s="50" t="s">
        <v>166</v>
      </c>
      <c r="DA224" s="33" t="s">
        <v>164</v>
      </c>
      <c r="DB224" s="33" t="s">
        <v>164</v>
      </c>
      <c r="DC224" s="33" t="s">
        <v>164</v>
      </c>
      <c r="DD224" s="33" t="s">
        <v>164</v>
      </c>
      <c r="DE224" s="33" t="s">
        <v>164</v>
      </c>
      <c r="DF224" s="33" t="s">
        <v>164</v>
      </c>
      <c r="DG224" s="33" t="s">
        <v>164</v>
      </c>
      <c r="DH224" s="33" t="s">
        <v>164</v>
      </c>
      <c r="DI224" s="33" t="s">
        <v>164</v>
      </c>
      <c r="DJ224" s="106"/>
      <c r="DK224" s="63"/>
      <c r="DL224" s="63"/>
      <c r="DM224" s="63"/>
      <c r="DN224" s="63"/>
      <c r="DO224" s="63"/>
      <c r="DP224" s="63"/>
      <c r="DQ224" s="63"/>
      <c r="DR224" s="63"/>
      <c r="DS224" s="63"/>
      <c r="DT224" s="63"/>
      <c r="DU224" s="63"/>
      <c r="DV224" s="63"/>
      <c r="DW224" s="63"/>
      <c r="DX224" s="63"/>
      <c r="DY224" s="63"/>
      <c r="DZ224" s="63"/>
      <c r="EA224" s="63"/>
      <c r="EB224" s="63"/>
      <c r="EC224" s="63"/>
      <c r="ED224" s="63"/>
      <c r="EE224" s="63"/>
      <c r="EF224" s="63"/>
      <c r="EG224" s="63"/>
      <c r="EH224" s="63"/>
      <c r="EI224" s="63"/>
      <c r="EJ224" s="63"/>
      <c r="EK224" s="63"/>
      <c r="EL224" s="63"/>
      <c r="EM224" s="63"/>
      <c r="EN224" s="63"/>
      <c r="EO224" s="63"/>
      <c r="EP224" s="63"/>
      <c r="EQ224" s="63"/>
      <c r="ER224" s="63"/>
      <c r="ES224" s="63"/>
      <c r="ET224" s="150"/>
      <c r="EU224" s="63"/>
      <c r="EV224" s="63"/>
      <c r="EW224" s="63"/>
      <c r="EX224" s="63"/>
      <c r="EY224" s="63"/>
      <c r="EZ224" s="33"/>
      <c r="FA224" s="33"/>
      <c r="FB224" s="33"/>
      <c r="FC224" s="33"/>
      <c r="FD224" s="33"/>
      <c r="FE224" s="33"/>
      <c r="FF224" s="33"/>
      <c r="FG224" s="33"/>
      <c r="FH224" s="33"/>
      <c r="FI224" s="33"/>
      <c r="FJ224" s="33"/>
      <c r="FK224" s="33"/>
      <c r="FL224" s="33"/>
      <c r="FM224" s="33"/>
      <c r="FN224" s="33"/>
      <c r="FO224" s="33"/>
      <c r="FP224" s="33"/>
      <c r="FQ224" s="33"/>
      <c r="FR224" s="33"/>
      <c r="FS224" s="33"/>
      <c r="FT224" s="33"/>
      <c r="FU224" s="33"/>
      <c r="FV224" s="33"/>
      <c r="FW224" s="33"/>
      <c r="FX224" s="33"/>
      <c r="FY224" s="33"/>
      <c r="FZ224" s="33"/>
      <c r="GA224" s="33"/>
    </row>
    <row r="225" ht="15.75" customHeight="1">
      <c r="A225" s="20" t="s">
        <v>482</v>
      </c>
      <c r="B225" s="20"/>
      <c r="C225" s="22"/>
      <c r="D225" s="22"/>
      <c r="E225" s="22"/>
      <c r="F225" s="22"/>
      <c r="G225" s="22"/>
      <c r="H225" s="22"/>
      <c r="I225" s="22"/>
      <c r="J225" s="22"/>
      <c r="K225" s="23"/>
      <c r="L225" s="23"/>
      <c r="M225" s="48" t="s">
        <v>483</v>
      </c>
      <c r="N225" s="23"/>
      <c r="O225" s="22" t="s">
        <v>164</v>
      </c>
      <c r="P225" s="24"/>
      <c r="Q225" s="24" t="str">
        <f t="shared" si="12"/>
        <v>fine-grained, , white marble</v>
      </c>
      <c r="R225" s="20" t="s">
        <v>180</v>
      </c>
      <c r="S225" s="20" t="s">
        <v>189</v>
      </c>
      <c r="T225" s="22" t="s">
        <v>164</v>
      </c>
      <c r="U225" s="22" t="s">
        <v>164</v>
      </c>
      <c r="V225" s="20" t="s">
        <v>190</v>
      </c>
      <c r="W225" s="20" t="s">
        <v>166</v>
      </c>
      <c r="X225" s="20">
        <v>1.5</v>
      </c>
      <c r="Y225" s="20" t="s">
        <v>183</v>
      </c>
      <c r="Z225" s="20" t="s">
        <v>198</v>
      </c>
      <c r="AA225" s="33"/>
      <c r="AB225" s="50" t="s">
        <v>166</v>
      </c>
      <c r="AC225" s="50">
        <v>2.1</v>
      </c>
      <c r="AD225" s="50" t="s">
        <v>183</v>
      </c>
      <c r="AE225" s="36" t="s">
        <v>439</v>
      </c>
      <c r="AF225" s="33" t="s">
        <v>164</v>
      </c>
      <c r="AG225" s="50" t="s">
        <v>166</v>
      </c>
      <c r="AH225" s="33" t="s">
        <v>164</v>
      </c>
      <c r="AI225" s="33" t="s">
        <v>164</v>
      </c>
      <c r="AJ225" s="33" t="s">
        <v>164</v>
      </c>
      <c r="AK225" s="33" t="s">
        <v>164</v>
      </c>
      <c r="AL225" s="33" t="s">
        <v>164</v>
      </c>
      <c r="AM225" s="22"/>
      <c r="AN225" s="22"/>
      <c r="AO225" s="43">
        <f t="shared" si="14"/>
        <v>0</v>
      </c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 t="s">
        <v>164</v>
      </c>
      <c r="BF225" s="22" t="s">
        <v>164</v>
      </c>
      <c r="BG225" s="22" t="s">
        <v>164</v>
      </c>
      <c r="BH225" s="22" t="s">
        <v>164</v>
      </c>
      <c r="BI225" s="22"/>
      <c r="BJ225" s="22" t="s">
        <v>164</v>
      </c>
      <c r="BK225" s="22"/>
      <c r="BL225" s="22" t="s">
        <v>164</v>
      </c>
      <c r="BM225" s="22"/>
      <c r="BN225" s="22" t="s">
        <v>164</v>
      </c>
      <c r="BO225" s="22"/>
      <c r="BP225" s="22"/>
      <c r="BQ225" s="22"/>
      <c r="BR225" s="22" t="s">
        <v>164</v>
      </c>
      <c r="BS225" s="22"/>
      <c r="BT225" s="22" t="s">
        <v>164</v>
      </c>
      <c r="BU225" s="22"/>
      <c r="BV225" s="22"/>
      <c r="BW225" s="22"/>
      <c r="BX225" s="22" t="s">
        <v>164</v>
      </c>
      <c r="BY225" s="22"/>
      <c r="BZ225" s="22" t="s">
        <v>164</v>
      </c>
      <c r="CA225" s="22"/>
      <c r="CB225" s="22" t="s">
        <v>164</v>
      </c>
      <c r="CC225" s="22"/>
      <c r="CD225" s="22" t="s">
        <v>164</v>
      </c>
      <c r="CE225" s="33" t="s">
        <v>164</v>
      </c>
      <c r="CF225" s="33" t="s">
        <v>164</v>
      </c>
      <c r="CG225" s="33" t="s">
        <v>164</v>
      </c>
      <c r="CH225" s="33" t="s">
        <v>164</v>
      </c>
      <c r="CI225" s="33" t="s">
        <v>164</v>
      </c>
      <c r="CJ225" s="33" t="s">
        <v>164</v>
      </c>
      <c r="CK225" s="33" t="s">
        <v>164</v>
      </c>
      <c r="CL225" s="33" t="s">
        <v>164</v>
      </c>
      <c r="CM225" s="33" t="s">
        <v>164</v>
      </c>
      <c r="CN225" s="33" t="s">
        <v>164</v>
      </c>
      <c r="CO225" s="33" t="s">
        <v>164</v>
      </c>
      <c r="CP225" s="33" t="s">
        <v>164</v>
      </c>
      <c r="CQ225" s="33" t="s">
        <v>164</v>
      </c>
      <c r="CR225" s="33" t="s">
        <v>164</v>
      </c>
      <c r="CS225" s="33" t="s">
        <v>164</v>
      </c>
      <c r="CT225" s="33" t="s">
        <v>164</v>
      </c>
      <c r="CU225" s="33" t="s">
        <v>164</v>
      </c>
      <c r="CV225" s="33" t="s">
        <v>164</v>
      </c>
      <c r="CW225" s="140" t="s">
        <v>166</v>
      </c>
      <c r="CX225" s="38">
        <v>2.52</v>
      </c>
      <c r="CY225" s="38">
        <v>-3.67</v>
      </c>
      <c r="CZ225" s="50" t="s">
        <v>166</v>
      </c>
      <c r="DA225" s="33" t="s">
        <v>164</v>
      </c>
      <c r="DB225" s="33" t="s">
        <v>164</v>
      </c>
      <c r="DC225" s="33" t="s">
        <v>164</v>
      </c>
      <c r="DD225" s="33" t="s">
        <v>164</v>
      </c>
      <c r="DE225" s="33" t="s">
        <v>164</v>
      </c>
      <c r="DF225" s="33" t="s">
        <v>164</v>
      </c>
      <c r="DG225" s="33" t="s">
        <v>164</v>
      </c>
      <c r="DH225" s="33" t="s">
        <v>164</v>
      </c>
      <c r="DI225" s="33" t="s">
        <v>164</v>
      </c>
      <c r="DJ225" s="106" t="s">
        <v>166</v>
      </c>
      <c r="DK225" s="52">
        <v>0.3</v>
      </c>
      <c r="DL225" s="52">
        <v>6.79</v>
      </c>
      <c r="DM225" s="52">
        <v>101.5</v>
      </c>
      <c r="DN225" s="52">
        <v>2810.89</v>
      </c>
      <c r="DO225" s="52">
        <v>0.073834475</v>
      </c>
      <c r="DP225" s="52">
        <v>44.08</v>
      </c>
      <c r="DQ225" s="52">
        <v>0.46</v>
      </c>
      <c r="DR225" s="52">
        <v>3.72</v>
      </c>
      <c r="DS225" s="52">
        <v>1.46</v>
      </c>
      <c r="DT225" s="52">
        <v>4.87</v>
      </c>
      <c r="DU225" s="52">
        <v>170.02</v>
      </c>
      <c r="DV225" s="52">
        <v>0.12</v>
      </c>
      <c r="DW225" s="52">
        <v>2.3</v>
      </c>
      <c r="DX225" s="52">
        <v>1.07</v>
      </c>
      <c r="DY225" s="52">
        <v>27.74</v>
      </c>
      <c r="DZ225" s="52">
        <v>0.09</v>
      </c>
      <c r="EA225" s="52">
        <v>0.35</v>
      </c>
      <c r="EB225" s="52">
        <v>0.07</v>
      </c>
      <c r="EC225" s="52">
        <v>242.32</v>
      </c>
      <c r="ED225" s="52">
        <v>0.27</v>
      </c>
      <c r="EE225" s="52">
        <v>0.75</v>
      </c>
      <c r="EF225" s="52">
        <v>0.04</v>
      </c>
      <c r="EG225" s="52">
        <v>0.01</v>
      </c>
      <c r="EH225" s="52">
        <v>0.89</v>
      </c>
      <c r="EI225" s="52">
        <v>0.03</v>
      </c>
      <c r="EJ225" s="52">
        <v>0.01</v>
      </c>
      <c r="EK225" s="52">
        <v>2.15</v>
      </c>
      <c r="EL225" s="52">
        <v>0.24</v>
      </c>
      <c r="EM225" s="52">
        <v>0.3</v>
      </c>
      <c r="EN225" s="52">
        <v>0.09</v>
      </c>
      <c r="EO225" s="52">
        <v>0.02</v>
      </c>
      <c r="EP225" s="52">
        <v>0.01</v>
      </c>
      <c r="EQ225" s="52">
        <v>0.03</v>
      </c>
      <c r="ER225" s="52">
        <v>0.04</v>
      </c>
      <c r="ES225" s="52">
        <v>0.02</v>
      </c>
      <c r="ET225" s="52">
        <v>0.007716815</v>
      </c>
      <c r="EU225" s="52">
        <v>0.03</v>
      </c>
      <c r="EV225" s="52">
        <v>6.56</v>
      </c>
      <c r="EW225" s="52">
        <v>5.89</v>
      </c>
      <c r="EX225" s="52">
        <v>1734.46</v>
      </c>
      <c r="EY225" s="52">
        <v>0.06</v>
      </c>
      <c r="FA225" s="33"/>
      <c r="FB225" s="33"/>
      <c r="FC225" s="33"/>
      <c r="FD225" s="33"/>
      <c r="FE225" s="33"/>
      <c r="FF225" s="33"/>
      <c r="FG225" s="33"/>
      <c r="FH225" s="33"/>
      <c r="FI225" s="33"/>
      <c r="FJ225" s="33"/>
      <c r="FK225" s="33"/>
      <c r="FL225" s="33"/>
      <c r="FM225" s="33"/>
      <c r="FN225" s="33"/>
      <c r="FO225" s="33"/>
      <c r="FP225" s="33"/>
      <c r="FQ225" s="33"/>
      <c r="FR225" s="33"/>
      <c r="FS225" s="33"/>
      <c r="FT225" s="33"/>
      <c r="FU225" s="33"/>
      <c r="FV225" s="33"/>
      <c r="FW225" s="33"/>
      <c r="FX225" s="33"/>
      <c r="FY225" s="33"/>
      <c r="FZ225" s="33"/>
      <c r="GA225" s="33"/>
    </row>
    <row r="226" ht="15.75" customHeight="1">
      <c r="A226" s="20" t="s">
        <v>484</v>
      </c>
      <c r="B226" s="20"/>
      <c r="C226" s="22"/>
      <c r="D226" s="22"/>
      <c r="E226" s="22"/>
      <c r="F226" s="22"/>
      <c r="G226" s="22"/>
      <c r="H226" s="22"/>
      <c r="I226" s="22"/>
      <c r="J226" s="22"/>
      <c r="K226" s="23"/>
      <c r="L226" s="23"/>
      <c r="M226" s="48" t="s">
        <v>485</v>
      </c>
      <c r="N226" s="23"/>
      <c r="O226" s="22" t="s">
        <v>164</v>
      </c>
      <c r="P226" s="24"/>
      <c r="Q226" s="24" t="str">
        <f t="shared" si="12"/>
        <v>fine-grained, homogeneous, white marble</v>
      </c>
      <c r="R226" s="20" t="s">
        <v>180</v>
      </c>
      <c r="S226" s="20" t="s">
        <v>189</v>
      </c>
      <c r="T226" s="20" t="s">
        <v>194</v>
      </c>
      <c r="U226" s="20" t="s">
        <v>195</v>
      </c>
      <c r="V226" s="20" t="s">
        <v>190</v>
      </c>
      <c r="W226" s="20" t="s">
        <v>166</v>
      </c>
      <c r="X226" s="20">
        <v>1.0</v>
      </c>
      <c r="Y226" s="20" t="s">
        <v>183</v>
      </c>
      <c r="Z226" s="20" t="s">
        <v>213</v>
      </c>
      <c r="AA226" s="33"/>
      <c r="AB226" s="50" t="s">
        <v>166</v>
      </c>
      <c r="AC226" s="50">
        <v>2.4</v>
      </c>
      <c r="AD226" s="50" t="s">
        <v>183</v>
      </c>
      <c r="AE226" s="36" t="s">
        <v>198</v>
      </c>
      <c r="AF226" s="33" t="s">
        <v>164</v>
      </c>
      <c r="AG226" s="50" t="s">
        <v>166</v>
      </c>
      <c r="AH226" s="33" t="s">
        <v>164</v>
      </c>
      <c r="AI226" s="33" t="s">
        <v>164</v>
      </c>
      <c r="AJ226" s="33" t="s">
        <v>164</v>
      </c>
      <c r="AK226" s="33" t="s">
        <v>164</v>
      </c>
      <c r="AL226" s="50" t="s">
        <v>166</v>
      </c>
      <c r="AM226" s="22"/>
      <c r="AN226" s="22"/>
      <c r="AO226" s="43">
        <f t="shared" si="14"/>
        <v>0</v>
      </c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 t="s">
        <v>164</v>
      </c>
      <c r="BF226" s="22" t="s">
        <v>164</v>
      </c>
      <c r="BG226" s="22" t="s">
        <v>164</v>
      </c>
      <c r="BH226" s="22" t="s">
        <v>164</v>
      </c>
      <c r="BI226" s="22"/>
      <c r="BJ226" s="22" t="s">
        <v>164</v>
      </c>
      <c r="BK226" s="22"/>
      <c r="BL226" s="22" t="s">
        <v>164</v>
      </c>
      <c r="BM226" s="22"/>
      <c r="BN226" s="22" t="s">
        <v>164</v>
      </c>
      <c r="BO226" s="22"/>
      <c r="BP226" s="22"/>
      <c r="BQ226" s="22"/>
      <c r="BR226" s="22" t="s">
        <v>164</v>
      </c>
      <c r="BS226" s="22"/>
      <c r="BT226" s="22" t="s">
        <v>164</v>
      </c>
      <c r="BU226" s="22"/>
      <c r="BV226" s="22"/>
      <c r="BW226" s="22"/>
      <c r="BX226" s="22" t="s">
        <v>164</v>
      </c>
      <c r="BY226" s="22"/>
      <c r="BZ226" s="22" t="s">
        <v>164</v>
      </c>
      <c r="CA226" s="22"/>
      <c r="CB226" s="22" t="s">
        <v>164</v>
      </c>
      <c r="CC226" s="22"/>
      <c r="CD226" s="22" t="s">
        <v>164</v>
      </c>
      <c r="CE226" s="33" t="s">
        <v>164</v>
      </c>
      <c r="CF226" s="33" t="s">
        <v>164</v>
      </c>
      <c r="CG226" s="33" t="s">
        <v>164</v>
      </c>
      <c r="CH226" s="33" t="s">
        <v>164</v>
      </c>
      <c r="CI226" s="33" t="s">
        <v>164</v>
      </c>
      <c r="CJ226" s="33" t="s">
        <v>164</v>
      </c>
      <c r="CK226" s="33" t="s">
        <v>164</v>
      </c>
      <c r="CL226" s="33" t="s">
        <v>164</v>
      </c>
      <c r="CM226" s="33" t="s">
        <v>164</v>
      </c>
      <c r="CN226" s="33" t="s">
        <v>164</v>
      </c>
      <c r="CO226" s="33" t="s">
        <v>164</v>
      </c>
      <c r="CP226" s="33" t="s">
        <v>164</v>
      </c>
      <c r="CQ226" s="33" t="s">
        <v>164</v>
      </c>
      <c r="CR226" s="33" t="s">
        <v>164</v>
      </c>
      <c r="CS226" s="33" t="s">
        <v>164</v>
      </c>
      <c r="CT226" s="33" t="s">
        <v>164</v>
      </c>
      <c r="CU226" s="33" t="s">
        <v>164</v>
      </c>
      <c r="CV226" s="33" t="s">
        <v>164</v>
      </c>
      <c r="CW226" s="140" t="s">
        <v>166</v>
      </c>
      <c r="CX226" s="38">
        <v>2.92</v>
      </c>
      <c r="CY226" s="38">
        <v>-1.26</v>
      </c>
      <c r="CZ226" s="50" t="s">
        <v>166</v>
      </c>
      <c r="DA226" s="33" t="s">
        <v>164</v>
      </c>
      <c r="DB226" s="33" t="s">
        <v>164</v>
      </c>
      <c r="DC226" s="33" t="s">
        <v>164</v>
      </c>
      <c r="DD226" s="33" t="s">
        <v>164</v>
      </c>
      <c r="DE226" s="33" t="s">
        <v>164</v>
      </c>
      <c r="DF226" s="33" t="s">
        <v>164</v>
      </c>
      <c r="DG226" s="33" t="s">
        <v>164</v>
      </c>
      <c r="DH226" s="33" t="s">
        <v>164</v>
      </c>
      <c r="DI226" s="33" t="s">
        <v>164</v>
      </c>
      <c r="DJ226" s="106" t="s">
        <v>166</v>
      </c>
      <c r="DK226" s="52">
        <v>1.24</v>
      </c>
      <c r="DL226" s="52">
        <v>42.66</v>
      </c>
      <c r="DM226" s="52">
        <v>206.49</v>
      </c>
      <c r="DN226" s="52">
        <v>9754.55</v>
      </c>
      <c r="DO226" s="52">
        <v>0.830088791</v>
      </c>
      <c r="DP226" s="52">
        <v>39.9</v>
      </c>
      <c r="DQ226" s="52">
        <v>4.63</v>
      </c>
      <c r="DR226" s="52">
        <v>28.56</v>
      </c>
      <c r="DS226" s="52">
        <v>17.88</v>
      </c>
      <c r="DT226" s="52">
        <v>7.47</v>
      </c>
      <c r="DU226" s="52">
        <v>755.18</v>
      </c>
      <c r="DV226" s="52">
        <v>1.62</v>
      </c>
      <c r="DW226" s="52">
        <v>38.21</v>
      </c>
      <c r="DX226" s="52">
        <v>5.53</v>
      </c>
      <c r="DY226" s="52">
        <v>17.08</v>
      </c>
      <c r="DZ226" s="52">
        <v>0.18</v>
      </c>
      <c r="EA226" s="52">
        <v>0.24</v>
      </c>
      <c r="EB226" s="52">
        <v>0.58</v>
      </c>
      <c r="EC226" s="52">
        <v>1423.09</v>
      </c>
      <c r="ED226" s="52">
        <v>1.35</v>
      </c>
      <c r="EE226" s="52">
        <v>0.16</v>
      </c>
      <c r="EF226" s="52">
        <v>0.04</v>
      </c>
      <c r="EG226" s="52">
        <v>0.03</v>
      </c>
      <c r="EH226" s="52">
        <v>1.13</v>
      </c>
      <c r="EI226" s="52">
        <v>0.1</v>
      </c>
      <c r="EJ226" s="52">
        <v>0.13</v>
      </c>
      <c r="EK226" s="52">
        <v>4.52</v>
      </c>
      <c r="EL226" s="52">
        <v>0.2</v>
      </c>
      <c r="EM226" s="52">
        <v>0.16</v>
      </c>
      <c r="EN226" s="52">
        <v>0.21</v>
      </c>
      <c r="EO226" s="52">
        <v>0.07</v>
      </c>
      <c r="EP226" s="52">
        <v>0.02</v>
      </c>
      <c r="EQ226" s="52">
        <v>0.17</v>
      </c>
      <c r="ER226" s="52">
        <v>0.09</v>
      </c>
      <c r="ES226" s="52">
        <v>0.1</v>
      </c>
      <c r="ET226" s="52">
        <v>0.060150939</v>
      </c>
      <c r="EU226" s="52">
        <v>0.01</v>
      </c>
      <c r="EV226" s="52">
        <v>19.88</v>
      </c>
      <c r="EW226" s="52">
        <v>26.95</v>
      </c>
      <c r="EX226" s="52">
        <v>282.16</v>
      </c>
      <c r="EY226" s="52">
        <v>2.03</v>
      </c>
      <c r="FA226" s="33"/>
      <c r="FB226" s="33"/>
      <c r="FC226" s="33"/>
      <c r="FD226" s="33"/>
      <c r="FE226" s="33"/>
      <c r="FF226" s="33"/>
      <c r="FG226" s="33"/>
      <c r="FH226" s="33"/>
      <c r="FI226" s="33"/>
      <c r="FJ226" s="33"/>
      <c r="FK226" s="33"/>
      <c r="FL226" s="33"/>
      <c r="FM226" s="33"/>
      <c r="FN226" s="33"/>
      <c r="FO226" s="33"/>
      <c r="FP226" s="33"/>
      <c r="FQ226" s="33"/>
      <c r="FR226" s="33"/>
      <c r="FS226" s="33"/>
      <c r="FT226" s="33"/>
      <c r="FU226" s="33"/>
      <c r="FV226" s="33"/>
      <c r="FW226" s="33"/>
      <c r="FX226" s="33"/>
      <c r="FY226" s="33"/>
      <c r="FZ226" s="33"/>
      <c r="GA226" s="33"/>
    </row>
    <row r="227" ht="15.75" customHeight="1">
      <c r="A227" s="20" t="s">
        <v>486</v>
      </c>
      <c r="B227" s="20"/>
      <c r="C227" s="22"/>
      <c r="D227" s="22"/>
      <c r="E227" s="22"/>
      <c r="F227" s="22"/>
      <c r="G227" s="22"/>
      <c r="H227" s="22"/>
      <c r="I227" s="22"/>
      <c r="J227" s="22"/>
      <c r="K227" s="23"/>
      <c r="L227" s="48" t="s">
        <v>441</v>
      </c>
      <c r="M227" s="23"/>
      <c r="N227" s="23"/>
      <c r="O227" s="22" t="s">
        <v>164</v>
      </c>
      <c r="P227" s="24"/>
      <c r="Q227" s="24" t="str">
        <f t="shared" si="12"/>
        <v>medium-grained, banded, white marble</v>
      </c>
      <c r="R227" s="20" t="s">
        <v>205</v>
      </c>
      <c r="S227" s="20" t="s">
        <v>189</v>
      </c>
      <c r="T227" s="20" t="s">
        <v>182</v>
      </c>
      <c r="U227" s="20" t="s">
        <v>181</v>
      </c>
      <c r="V227" s="20" t="s">
        <v>190</v>
      </c>
      <c r="W227" s="20" t="s">
        <v>166</v>
      </c>
      <c r="X227" s="20">
        <v>1.9</v>
      </c>
      <c r="Y227" s="20" t="s">
        <v>183</v>
      </c>
      <c r="Z227" s="20" t="s">
        <v>184</v>
      </c>
      <c r="AA227" s="33"/>
      <c r="AB227" s="50" t="s">
        <v>166</v>
      </c>
      <c r="AC227" s="50">
        <v>2.2</v>
      </c>
      <c r="AD227" s="50" t="s">
        <v>183</v>
      </c>
      <c r="AE227" s="36" t="s">
        <v>245</v>
      </c>
      <c r="AF227" s="50" t="s">
        <v>166</v>
      </c>
      <c r="AG227" s="50" t="s">
        <v>166</v>
      </c>
      <c r="AH227" s="33" t="s">
        <v>164</v>
      </c>
      <c r="AI227" s="33" t="s">
        <v>164</v>
      </c>
      <c r="AJ227" s="33" t="s">
        <v>164</v>
      </c>
      <c r="AK227" s="33" t="s">
        <v>164</v>
      </c>
      <c r="AL227" s="33" t="s">
        <v>164</v>
      </c>
      <c r="AM227" s="22"/>
      <c r="AN227" s="22"/>
      <c r="AO227" s="43">
        <f t="shared" si="14"/>
        <v>0</v>
      </c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 t="s">
        <v>164</v>
      </c>
      <c r="BF227" s="22" t="s">
        <v>164</v>
      </c>
      <c r="BG227" s="22" t="s">
        <v>164</v>
      </c>
      <c r="BH227" s="22" t="s">
        <v>164</v>
      </c>
      <c r="BI227" s="22"/>
      <c r="BJ227" s="22" t="s">
        <v>164</v>
      </c>
      <c r="BK227" s="22"/>
      <c r="BL227" s="22" t="s">
        <v>164</v>
      </c>
      <c r="BM227" s="22"/>
      <c r="BN227" s="22" t="s">
        <v>164</v>
      </c>
      <c r="BO227" s="22"/>
      <c r="BP227" s="22"/>
      <c r="BQ227" s="22"/>
      <c r="BR227" s="22" t="s">
        <v>164</v>
      </c>
      <c r="BS227" s="22"/>
      <c r="BT227" s="22" t="s">
        <v>164</v>
      </c>
      <c r="BU227" s="22"/>
      <c r="BV227" s="22"/>
      <c r="BW227" s="22"/>
      <c r="BX227" s="22" t="s">
        <v>164</v>
      </c>
      <c r="BY227" s="22"/>
      <c r="BZ227" s="22" t="s">
        <v>164</v>
      </c>
      <c r="CA227" s="22"/>
      <c r="CB227" s="22" t="s">
        <v>164</v>
      </c>
      <c r="CC227" s="22"/>
      <c r="CD227" s="22" t="s">
        <v>164</v>
      </c>
      <c r="CE227" s="33" t="s">
        <v>164</v>
      </c>
      <c r="CF227" s="33" t="s">
        <v>164</v>
      </c>
      <c r="CG227" s="33" t="s">
        <v>164</v>
      </c>
      <c r="CH227" s="33" t="s">
        <v>164</v>
      </c>
      <c r="CI227" s="33" t="s">
        <v>164</v>
      </c>
      <c r="CJ227" s="33" t="s">
        <v>164</v>
      </c>
      <c r="CK227" s="33" t="s">
        <v>164</v>
      </c>
      <c r="CL227" s="33" t="s">
        <v>164</v>
      </c>
      <c r="CM227" s="33" t="s">
        <v>164</v>
      </c>
      <c r="CN227" s="33" t="s">
        <v>164</v>
      </c>
      <c r="CO227" s="33" t="s">
        <v>164</v>
      </c>
      <c r="CP227" s="33" t="s">
        <v>164</v>
      </c>
      <c r="CQ227" s="33" t="s">
        <v>164</v>
      </c>
      <c r="CR227" s="33" t="s">
        <v>164</v>
      </c>
      <c r="CS227" s="33" t="s">
        <v>164</v>
      </c>
      <c r="CT227" s="33" t="s">
        <v>164</v>
      </c>
      <c r="CU227" s="33" t="s">
        <v>164</v>
      </c>
      <c r="CV227" s="33" t="s">
        <v>164</v>
      </c>
      <c r="CW227" s="140" t="s">
        <v>166</v>
      </c>
      <c r="CX227" s="38">
        <v>2.11</v>
      </c>
      <c r="CY227" s="38">
        <v>-2.35</v>
      </c>
      <c r="CZ227" s="50" t="s">
        <v>166</v>
      </c>
      <c r="DA227" s="33" t="s">
        <v>164</v>
      </c>
      <c r="DB227" s="33" t="s">
        <v>164</v>
      </c>
      <c r="DC227" s="33" t="s">
        <v>164</v>
      </c>
      <c r="DD227" s="33" t="s">
        <v>164</v>
      </c>
      <c r="DE227" s="33" t="s">
        <v>164</v>
      </c>
      <c r="DF227" s="33" t="s">
        <v>164</v>
      </c>
      <c r="DG227" s="33" t="s">
        <v>164</v>
      </c>
      <c r="DH227" s="33" t="s">
        <v>164</v>
      </c>
      <c r="DI227" s="33" t="s">
        <v>164</v>
      </c>
      <c r="DJ227" s="106" t="s">
        <v>166</v>
      </c>
      <c r="DK227" s="52">
        <v>1.56</v>
      </c>
      <c r="DL227" s="52">
        <v>6.45</v>
      </c>
      <c r="DM227" s="52">
        <v>65.12</v>
      </c>
      <c r="DN227" s="52">
        <v>4270.0</v>
      </c>
      <c r="DO227" s="52">
        <v>0.271373905</v>
      </c>
      <c r="DP227" s="52">
        <v>20.48</v>
      </c>
      <c r="DQ227" s="52">
        <v>2.52</v>
      </c>
      <c r="DR227" s="52">
        <v>3.39</v>
      </c>
      <c r="DS227" s="52">
        <v>1.94</v>
      </c>
      <c r="DT227" s="52">
        <v>9.48</v>
      </c>
      <c r="DU227" s="52">
        <v>831.15</v>
      </c>
      <c r="DV227" s="52">
        <v>0.13</v>
      </c>
      <c r="DW227" s="52">
        <v>1.55</v>
      </c>
      <c r="DX227" s="52">
        <v>1.65</v>
      </c>
      <c r="DY227" s="52">
        <v>4.87</v>
      </c>
      <c r="DZ227" s="52">
        <v>0.29</v>
      </c>
      <c r="EA227" s="52">
        <v>0.76</v>
      </c>
      <c r="EB227" s="52">
        <v>0.45</v>
      </c>
      <c r="EC227" s="52">
        <v>229.26</v>
      </c>
      <c r="ED227" s="52">
        <v>1.25</v>
      </c>
      <c r="EE227" s="52">
        <v>0.98</v>
      </c>
      <c r="EF227" s="52">
        <v>0.1</v>
      </c>
      <c r="EG227" s="52">
        <v>0.07</v>
      </c>
      <c r="EH227" s="52">
        <v>0.32</v>
      </c>
      <c r="EI227" s="52">
        <v>1.42</v>
      </c>
      <c r="EJ227" s="52">
        <v>0.07</v>
      </c>
      <c r="EK227" s="52">
        <v>4.97</v>
      </c>
      <c r="EL227" s="52">
        <v>2.16</v>
      </c>
      <c r="EM227" s="52">
        <v>3.18</v>
      </c>
      <c r="EN227" s="52">
        <v>2.16</v>
      </c>
      <c r="EO227" s="52">
        <v>0.29</v>
      </c>
      <c r="EP227" s="52">
        <v>0.06</v>
      </c>
      <c r="EQ227" s="52">
        <v>0.21</v>
      </c>
      <c r="ER227" s="52">
        <v>0.29</v>
      </c>
      <c r="ES227" s="52">
        <v>0.15</v>
      </c>
      <c r="ET227" s="52">
        <v>0.05817802</v>
      </c>
      <c r="EU227" s="52">
        <v>0.08</v>
      </c>
      <c r="EV227" s="52">
        <v>13.06</v>
      </c>
      <c r="EW227" s="52">
        <v>6.53</v>
      </c>
      <c r="EX227" s="52">
        <v>21.63</v>
      </c>
      <c r="EY227" s="52">
        <v>0.48</v>
      </c>
      <c r="FA227" s="33"/>
      <c r="FB227" s="33"/>
      <c r="FC227" s="33"/>
      <c r="FD227" s="33"/>
      <c r="FE227" s="33"/>
      <c r="FF227" s="33"/>
      <c r="FG227" s="33"/>
      <c r="FH227" s="33"/>
      <c r="FI227" s="33"/>
      <c r="FJ227" s="33"/>
      <c r="FK227" s="33"/>
      <c r="FL227" s="33"/>
      <c r="FM227" s="33"/>
      <c r="FN227" s="33"/>
      <c r="FO227" s="33"/>
      <c r="FP227" s="33"/>
      <c r="FQ227" s="33"/>
      <c r="FR227" s="33"/>
      <c r="FS227" s="33"/>
      <c r="FT227" s="33"/>
      <c r="FU227" s="33"/>
      <c r="FV227" s="33"/>
      <c r="FW227" s="33"/>
      <c r="FX227" s="33"/>
      <c r="FY227" s="33"/>
      <c r="FZ227" s="33"/>
      <c r="GA227" s="33"/>
    </row>
    <row r="228" ht="15.75" customHeight="1">
      <c r="A228" s="20" t="s">
        <v>487</v>
      </c>
      <c r="B228" s="20"/>
      <c r="C228" s="22"/>
      <c r="D228" s="22"/>
      <c r="E228" s="22"/>
      <c r="F228" s="22"/>
      <c r="G228" s="22"/>
      <c r="H228" s="22"/>
      <c r="I228" s="22"/>
      <c r="J228" s="22"/>
      <c r="K228" s="23"/>
      <c r="L228" s="23"/>
      <c r="M228" s="48" t="s">
        <v>488</v>
      </c>
      <c r="N228" s="23"/>
      <c r="O228" s="22" t="s">
        <v>164</v>
      </c>
      <c r="P228" s="24"/>
      <c r="Q228" s="24" t="str">
        <f t="shared" si="12"/>
        <v>fine-grained, banded, white marble</v>
      </c>
      <c r="R228" s="20" t="s">
        <v>180</v>
      </c>
      <c r="S228" s="20" t="s">
        <v>189</v>
      </c>
      <c r="T228" s="20" t="s">
        <v>182</v>
      </c>
      <c r="U228" s="20" t="s">
        <v>181</v>
      </c>
      <c r="V228" s="20" t="s">
        <v>190</v>
      </c>
      <c r="W228" s="20" t="s">
        <v>166</v>
      </c>
      <c r="X228" s="20">
        <v>1.0</v>
      </c>
      <c r="Y228" s="20" t="s">
        <v>191</v>
      </c>
      <c r="Z228" s="20" t="s">
        <v>184</v>
      </c>
      <c r="AA228" s="33"/>
      <c r="AB228" s="50" t="s">
        <v>166</v>
      </c>
      <c r="AC228" s="50">
        <v>1.5</v>
      </c>
      <c r="AD228" s="50" t="s">
        <v>191</v>
      </c>
      <c r="AE228" s="36" t="s">
        <v>207</v>
      </c>
      <c r="AF228" s="33" t="s">
        <v>164</v>
      </c>
      <c r="AG228" s="33" t="s">
        <v>164</v>
      </c>
      <c r="AH228" s="33" t="s">
        <v>164</v>
      </c>
      <c r="AI228" s="33" t="s">
        <v>164</v>
      </c>
      <c r="AJ228" s="33" t="s">
        <v>164</v>
      </c>
      <c r="AK228" s="33" t="s">
        <v>164</v>
      </c>
      <c r="AL228" s="33" t="s">
        <v>164</v>
      </c>
      <c r="AM228" s="22"/>
      <c r="AN228" s="22"/>
      <c r="AO228" s="43">
        <f t="shared" si="14"/>
        <v>0</v>
      </c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 t="s">
        <v>164</v>
      </c>
      <c r="BF228" s="22" t="s">
        <v>164</v>
      </c>
      <c r="BG228" s="22" t="s">
        <v>164</v>
      </c>
      <c r="BH228" s="22" t="s">
        <v>164</v>
      </c>
      <c r="BI228" s="22"/>
      <c r="BJ228" s="22" t="s">
        <v>164</v>
      </c>
      <c r="BK228" s="22"/>
      <c r="BL228" s="22" t="s">
        <v>164</v>
      </c>
      <c r="BM228" s="22"/>
      <c r="BN228" s="22" t="s">
        <v>164</v>
      </c>
      <c r="BO228" s="22"/>
      <c r="BP228" s="22"/>
      <c r="BQ228" s="22"/>
      <c r="BR228" s="22" t="s">
        <v>164</v>
      </c>
      <c r="BS228" s="22"/>
      <c r="BT228" s="22" t="s">
        <v>164</v>
      </c>
      <c r="BU228" s="22"/>
      <c r="BV228" s="22"/>
      <c r="BW228" s="22"/>
      <c r="BX228" s="22" t="s">
        <v>164</v>
      </c>
      <c r="BY228" s="22"/>
      <c r="BZ228" s="22" t="s">
        <v>164</v>
      </c>
      <c r="CA228" s="22"/>
      <c r="CB228" s="22" t="s">
        <v>164</v>
      </c>
      <c r="CC228" s="22"/>
      <c r="CD228" s="22" t="s">
        <v>164</v>
      </c>
      <c r="CE228" s="33" t="s">
        <v>164</v>
      </c>
      <c r="CF228" s="33" t="s">
        <v>164</v>
      </c>
      <c r="CG228" s="33" t="s">
        <v>164</v>
      </c>
      <c r="CH228" s="33" t="s">
        <v>164</v>
      </c>
      <c r="CI228" s="33" t="s">
        <v>164</v>
      </c>
      <c r="CJ228" s="33" t="s">
        <v>164</v>
      </c>
      <c r="CK228" s="33" t="s">
        <v>164</v>
      </c>
      <c r="CL228" s="33" t="s">
        <v>164</v>
      </c>
      <c r="CM228" s="33" t="s">
        <v>164</v>
      </c>
      <c r="CN228" s="33" t="s">
        <v>164</v>
      </c>
      <c r="CO228" s="33" t="s">
        <v>164</v>
      </c>
      <c r="CP228" s="33" t="s">
        <v>164</v>
      </c>
      <c r="CQ228" s="33" t="s">
        <v>164</v>
      </c>
      <c r="CR228" s="33" t="s">
        <v>164</v>
      </c>
      <c r="CS228" s="33" t="s">
        <v>164</v>
      </c>
      <c r="CT228" s="33" t="s">
        <v>164</v>
      </c>
      <c r="CU228" s="33" t="s">
        <v>164</v>
      </c>
      <c r="CV228" s="33" t="s">
        <v>164</v>
      </c>
      <c r="CW228" s="140" t="s">
        <v>166</v>
      </c>
      <c r="CX228" s="38">
        <v>2.4</v>
      </c>
      <c r="CY228" s="38">
        <v>-0.94</v>
      </c>
      <c r="CZ228" s="50" t="s">
        <v>166</v>
      </c>
      <c r="DA228" s="33" t="s">
        <v>164</v>
      </c>
      <c r="DB228" s="33" t="s">
        <v>164</v>
      </c>
      <c r="DC228" s="33" t="s">
        <v>164</v>
      </c>
      <c r="DD228" s="33" t="s">
        <v>164</v>
      </c>
      <c r="DE228" s="33" t="s">
        <v>164</v>
      </c>
      <c r="DF228" s="33" t="s">
        <v>164</v>
      </c>
      <c r="DG228" s="33" t="s">
        <v>164</v>
      </c>
      <c r="DH228" s="33" t="s">
        <v>164</v>
      </c>
      <c r="DI228" s="33" t="s">
        <v>164</v>
      </c>
      <c r="DJ228" s="106" t="s">
        <v>166</v>
      </c>
      <c r="DK228" s="52">
        <v>0.2</v>
      </c>
      <c r="DL228" s="52">
        <v>2.6</v>
      </c>
      <c r="DM228" s="52">
        <v>23.77</v>
      </c>
      <c r="DN228" s="52">
        <v>1886.83</v>
      </c>
      <c r="DO228" s="52">
        <v>0.046636885</v>
      </c>
      <c r="DP228" s="52">
        <v>21.67</v>
      </c>
      <c r="DQ228" s="52">
        <v>0.22</v>
      </c>
      <c r="DR228" s="52">
        <v>2.58</v>
      </c>
      <c r="DS228" s="52">
        <v>4.14</v>
      </c>
      <c r="DT228" s="52">
        <v>38.47</v>
      </c>
      <c r="DU228" s="52">
        <v>0.02</v>
      </c>
      <c r="DV228" s="52">
        <v>0.46</v>
      </c>
      <c r="DW228" s="52">
        <v>0.69</v>
      </c>
      <c r="DX228" s="52">
        <v>0.56</v>
      </c>
      <c r="DY228" s="52">
        <v>0.01</v>
      </c>
      <c r="DZ228" s="52">
        <v>0.37</v>
      </c>
      <c r="EA228" s="52">
        <v>0.07</v>
      </c>
      <c r="EB228" s="52">
        <v>171.84</v>
      </c>
      <c r="EC228" s="52">
        <v>1.72</v>
      </c>
      <c r="ED228" s="52">
        <v>0.23</v>
      </c>
      <c r="EE228" s="52">
        <v>0.03</v>
      </c>
      <c r="EF228" s="52">
        <v>0.01</v>
      </c>
      <c r="EG228" s="52">
        <v>0.09</v>
      </c>
      <c r="EH228" s="52">
        <v>0.14</v>
      </c>
      <c r="EI228" s="52">
        <v>0.02</v>
      </c>
      <c r="EJ228" s="52">
        <v>0.99</v>
      </c>
      <c r="EK228" s="52">
        <v>0.65</v>
      </c>
      <c r="EL228" s="52">
        <v>0.4</v>
      </c>
      <c r="EM228" s="52">
        <v>0.42</v>
      </c>
      <c r="EN228" s="52">
        <v>0.07</v>
      </c>
      <c r="EO228" s="52">
        <v>0.01</v>
      </c>
      <c r="EP228" s="52">
        <v>0.04</v>
      </c>
      <c r="EQ228" s="52">
        <v>0.14</v>
      </c>
      <c r="ER228" s="52">
        <v>0.12</v>
      </c>
      <c r="ES228" s="52">
        <v>0.09</v>
      </c>
      <c r="ET228" s="52">
        <v>0.003665431</v>
      </c>
      <c r="EU228" s="52">
        <v>7.87</v>
      </c>
      <c r="EV228" s="52">
        <v>6.19</v>
      </c>
      <c r="EW228" s="52">
        <v>3.95</v>
      </c>
      <c r="EX228" s="52">
        <v>0.02</v>
      </c>
      <c r="EY228" s="52">
        <v>0.02</v>
      </c>
    </row>
    <row r="229" ht="15.75" customHeight="1">
      <c r="A229" s="20" t="s">
        <v>489</v>
      </c>
      <c r="B229" s="20"/>
      <c r="C229" s="22"/>
      <c r="D229" s="22"/>
      <c r="E229" s="22"/>
      <c r="F229" s="22"/>
      <c r="G229" s="22"/>
      <c r="H229" s="22"/>
      <c r="I229" s="22"/>
      <c r="J229" s="22"/>
      <c r="K229" s="62" t="s">
        <v>225</v>
      </c>
      <c r="L229" s="23"/>
      <c r="M229" s="23"/>
      <c r="N229" s="23"/>
      <c r="O229" s="22" t="s">
        <v>164</v>
      </c>
      <c r="P229" s="151" t="s">
        <v>490</v>
      </c>
      <c r="Q229" s="24" t="str">
        <f t="shared" si="12"/>
        <v>very fine-grained, homogeneous, white marble</v>
      </c>
      <c r="R229" s="20" t="s">
        <v>188</v>
      </c>
      <c r="S229" s="20" t="s">
        <v>189</v>
      </c>
      <c r="T229" s="20" t="s">
        <v>194</v>
      </c>
      <c r="U229" s="20" t="s">
        <v>195</v>
      </c>
      <c r="V229" s="20" t="s">
        <v>190</v>
      </c>
      <c r="W229" s="20" t="s">
        <v>166</v>
      </c>
      <c r="X229" s="20">
        <v>0.6</v>
      </c>
      <c r="Y229" s="20" t="s">
        <v>196</v>
      </c>
      <c r="Z229" s="20" t="s">
        <v>184</v>
      </c>
      <c r="AA229" s="33"/>
      <c r="AB229" s="50" t="s">
        <v>166</v>
      </c>
      <c r="AC229" s="50">
        <v>0.5</v>
      </c>
      <c r="AD229" s="50" t="s">
        <v>209</v>
      </c>
      <c r="AE229" s="36" t="s">
        <v>245</v>
      </c>
      <c r="AF229" s="50" t="s">
        <v>166</v>
      </c>
      <c r="AG229" s="50" t="s">
        <v>166</v>
      </c>
      <c r="AH229" s="33" t="s">
        <v>164</v>
      </c>
      <c r="AI229" s="33" t="s">
        <v>164</v>
      </c>
      <c r="AJ229" s="33" t="s">
        <v>164</v>
      </c>
      <c r="AK229" s="33" t="s">
        <v>164</v>
      </c>
      <c r="AL229" s="33" t="s">
        <v>164</v>
      </c>
      <c r="AM229" s="22"/>
      <c r="AN229" s="22"/>
      <c r="AO229" s="43">
        <f t="shared" si="14"/>
        <v>0</v>
      </c>
      <c r="AP229" s="22" t="s">
        <v>164</v>
      </c>
      <c r="AQ229" s="27" t="s">
        <v>164</v>
      </c>
      <c r="AR229" s="27" t="s">
        <v>164</v>
      </c>
      <c r="AS229" s="27" t="s">
        <v>164</v>
      </c>
      <c r="AT229" s="27" t="s">
        <v>164</v>
      </c>
      <c r="AU229" s="27" t="s">
        <v>164</v>
      </c>
      <c r="AV229" s="27" t="s">
        <v>164</v>
      </c>
      <c r="AW229" s="27" t="s">
        <v>164</v>
      </c>
      <c r="AX229" s="27" t="s">
        <v>164</v>
      </c>
      <c r="AY229" s="27" t="s">
        <v>164</v>
      </c>
      <c r="AZ229" s="27" t="s">
        <v>164</v>
      </c>
      <c r="BA229" s="27" t="s">
        <v>164</v>
      </c>
      <c r="BB229" s="27" t="s">
        <v>164</v>
      </c>
      <c r="BC229" s="27"/>
      <c r="BD229" s="27" t="s">
        <v>164</v>
      </c>
      <c r="BE229" s="27" t="s">
        <v>164</v>
      </c>
      <c r="BF229" s="27" t="s">
        <v>164</v>
      </c>
      <c r="BG229" s="27" t="s">
        <v>164</v>
      </c>
      <c r="BH229" s="27" t="s">
        <v>164</v>
      </c>
      <c r="BI229" s="22"/>
      <c r="BJ229" s="22" t="s">
        <v>164</v>
      </c>
      <c r="BK229" s="22"/>
      <c r="BL229" s="22" t="s">
        <v>164</v>
      </c>
      <c r="BM229" s="22"/>
      <c r="BN229" s="22" t="s">
        <v>164</v>
      </c>
      <c r="BO229" s="22"/>
      <c r="BP229" s="22"/>
      <c r="BQ229" s="22"/>
      <c r="BR229" s="22" t="s">
        <v>164</v>
      </c>
      <c r="BS229" s="22"/>
      <c r="BT229" s="22" t="s">
        <v>164</v>
      </c>
      <c r="BU229" s="22"/>
      <c r="BV229" s="22"/>
      <c r="BW229" s="22"/>
      <c r="BX229" s="22" t="s">
        <v>164</v>
      </c>
      <c r="BY229" s="22"/>
      <c r="BZ229" s="22" t="s">
        <v>164</v>
      </c>
      <c r="CA229" s="22"/>
      <c r="CB229" s="22" t="s">
        <v>164</v>
      </c>
      <c r="CC229" s="22"/>
      <c r="CD229" s="22" t="s">
        <v>164</v>
      </c>
      <c r="CE229" s="33" t="s">
        <v>164</v>
      </c>
      <c r="CF229" s="33" t="s">
        <v>164</v>
      </c>
      <c r="CG229" s="33" t="s">
        <v>164</v>
      </c>
      <c r="CH229" s="33" t="s">
        <v>164</v>
      </c>
      <c r="CI229" s="33" t="s">
        <v>164</v>
      </c>
      <c r="CJ229" s="33" t="s">
        <v>164</v>
      </c>
      <c r="CK229" s="33" t="s">
        <v>164</v>
      </c>
      <c r="CL229" s="33" t="s">
        <v>164</v>
      </c>
      <c r="CM229" s="33" t="s">
        <v>164</v>
      </c>
      <c r="CN229" s="33" t="s">
        <v>164</v>
      </c>
      <c r="CO229" s="33" t="s">
        <v>164</v>
      </c>
      <c r="CP229" s="33" t="s">
        <v>164</v>
      </c>
      <c r="CQ229" s="33" t="s">
        <v>164</v>
      </c>
      <c r="CR229" s="33" t="s">
        <v>164</v>
      </c>
      <c r="CS229" s="33" t="s">
        <v>164</v>
      </c>
      <c r="CT229" s="33" t="s">
        <v>164</v>
      </c>
      <c r="CU229" s="33" t="s">
        <v>164</v>
      </c>
      <c r="CV229" s="33" t="s">
        <v>164</v>
      </c>
      <c r="CW229" s="140" t="s">
        <v>166</v>
      </c>
      <c r="CX229" s="38">
        <v>0.14</v>
      </c>
      <c r="CY229" s="38">
        <v>-1.21</v>
      </c>
      <c r="CZ229" s="33"/>
      <c r="DA229" s="33" t="s">
        <v>164</v>
      </c>
      <c r="DB229" s="33" t="s">
        <v>164</v>
      </c>
      <c r="DC229" s="33" t="s">
        <v>164</v>
      </c>
      <c r="DD229" s="33" t="s">
        <v>164</v>
      </c>
      <c r="DE229" s="33" t="s">
        <v>164</v>
      </c>
      <c r="DF229" s="33" t="s">
        <v>164</v>
      </c>
      <c r="DG229" s="33" t="s">
        <v>164</v>
      </c>
      <c r="DH229" s="33" t="s">
        <v>164</v>
      </c>
      <c r="DI229" s="33" t="s">
        <v>164</v>
      </c>
      <c r="DJ229" s="50"/>
      <c r="DK229" s="33"/>
      <c r="DL229" s="33"/>
      <c r="DM229" s="33"/>
      <c r="DN229" s="33"/>
      <c r="DO229" s="33"/>
      <c r="DP229" s="33"/>
      <c r="DQ229" s="33"/>
      <c r="DR229" s="33"/>
      <c r="DS229" s="33"/>
      <c r="DT229" s="33"/>
      <c r="DU229" s="33"/>
      <c r="DV229" s="33"/>
      <c r="DW229" s="33"/>
      <c r="DX229" s="33"/>
      <c r="DY229" s="33"/>
      <c r="DZ229" s="33"/>
      <c r="EA229" s="33"/>
      <c r="EB229" s="33"/>
      <c r="EC229" s="33"/>
      <c r="ED229" s="33"/>
      <c r="EE229" s="33"/>
      <c r="EF229" s="33"/>
      <c r="EG229" s="33"/>
      <c r="EH229" s="33"/>
      <c r="EI229" s="33"/>
      <c r="EJ229" s="33"/>
      <c r="EK229" s="33"/>
      <c r="EL229" s="33"/>
      <c r="EM229" s="33"/>
      <c r="EN229" s="33"/>
      <c r="EO229" s="33"/>
      <c r="EP229" s="33"/>
      <c r="EQ229" s="33"/>
      <c r="ER229" s="33"/>
      <c r="ES229" s="33"/>
      <c r="ET229" s="33"/>
      <c r="EU229" s="33"/>
      <c r="EV229" s="33"/>
      <c r="EW229" s="33"/>
      <c r="EX229" s="33"/>
      <c r="EY229" s="33"/>
      <c r="EZ229" s="33"/>
    </row>
    <row r="230" ht="15.75" customHeight="1">
      <c r="A230" s="20" t="s">
        <v>491</v>
      </c>
      <c r="B230" s="20"/>
      <c r="C230" s="22"/>
      <c r="D230" s="22"/>
      <c r="E230" s="22"/>
      <c r="F230" s="22"/>
      <c r="G230" s="22"/>
      <c r="H230" s="22"/>
      <c r="I230" s="22"/>
      <c r="J230" s="22"/>
      <c r="K230" s="23"/>
      <c r="L230" s="23"/>
      <c r="M230" s="23"/>
      <c r="N230" s="23"/>
      <c r="O230" s="22"/>
      <c r="P230" s="24"/>
      <c r="Q230" s="24" t="str">
        <f t="shared" si="12"/>
        <v>very fine-grained, banded and veined, grey marble</v>
      </c>
      <c r="R230" s="20" t="s">
        <v>188</v>
      </c>
      <c r="S230" s="20" t="s">
        <v>181</v>
      </c>
      <c r="T230" s="20" t="s">
        <v>243</v>
      </c>
      <c r="U230" s="20" t="s">
        <v>428</v>
      </c>
      <c r="V230" s="22"/>
      <c r="W230" s="20" t="s">
        <v>166</v>
      </c>
      <c r="X230" s="20">
        <v>0.8</v>
      </c>
      <c r="Y230" s="20" t="s">
        <v>191</v>
      </c>
      <c r="Z230" s="20" t="s">
        <v>198</v>
      </c>
      <c r="AE230" s="110"/>
      <c r="AM230" s="22"/>
      <c r="AN230" s="22"/>
      <c r="AO230" s="43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V230" s="33"/>
      <c r="CW230" s="116"/>
      <c r="CX230" s="47"/>
      <c r="CY230" s="47"/>
      <c r="DJ230" s="33"/>
      <c r="DK230" s="33"/>
      <c r="DL230" s="33"/>
      <c r="DM230" s="33"/>
      <c r="DN230" s="33"/>
      <c r="DO230" s="33"/>
      <c r="DP230" s="33"/>
      <c r="DQ230" s="33"/>
      <c r="DR230" s="33"/>
      <c r="DS230" s="33"/>
      <c r="DT230" s="33"/>
      <c r="DU230" s="33"/>
      <c r="DV230" s="33"/>
      <c r="DW230" s="33"/>
      <c r="DX230" s="33"/>
      <c r="DY230" s="33"/>
      <c r="DZ230" s="33"/>
      <c r="EA230" s="33"/>
      <c r="EB230" s="33"/>
      <c r="EC230" s="33"/>
      <c r="ED230" s="33"/>
      <c r="EE230" s="33"/>
      <c r="EF230" s="33"/>
      <c r="EG230" s="33"/>
      <c r="EH230" s="33"/>
      <c r="EI230" s="33"/>
      <c r="EJ230" s="33"/>
      <c r="EK230" s="33"/>
      <c r="EL230" s="33"/>
      <c r="EM230" s="33"/>
      <c r="EN230" s="33"/>
      <c r="EO230" s="33"/>
      <c r="EP230" s="33"/>
      <c r="EQ230" s="33"/>
      <c r="ER230" s="33"/>
      <c r="ES230" s="33"/>
      <c r="ET230" s="33"/>
      <c r="EU230" s="33"/>
      <c r="EV230" s="33"/>
      <c r="EW230" s="33"/>
      <c r="EX230" s="33"/>
      <c r="EY230" s="33"/>
      <c r="EZ230" s="33"/>
    </row>
    <row r="231" ht="15.75" customHeight="1">
      <c r="A231" s="20" t="s">
        <v>492</v>
      </c>
      <c r="B231" s="20"/>
      <c r="C231" s="22"/>
      <c r="D231" s="22"/>
      <c r="E231" s="22"/>
      <c r="F231" s="22"/>
      <c r="G231" s="22"/>
      <c r="H231" s="22"/>
      <c r="I231" s="22"/>
      <c r="J231" s="22"/>
      <c r="K231" s="23"/>
      <c r="L231" s="23"/>
      <c r="M231" s="23"/>
      <c r="N231" s="23"/>
      <c r="O231" s="22"/>
      <c r="P231" s="24"/>
      <c r="Q231" s="24" t="str">
        <f t="shared" si="12"/>
        <v>very fine-grained, homogeneous, white marble</v>
      </c>
      <c r="R231" s="20" t="s">
        <v>188</v>
      </c>
      <c r="S231" s="20" t="s">
        <v>189</v>
      </c>
      <c r="T231" s="20" t="s">
        <v>194</v>
      </c>
      <c r="U231" s="20" t="s">
        <v>195</v>
      </c>
      <c r="V231" s="22"/>
      <c r="W231" s="20" t="s">
        <v>166</v>
      </c>
      <c r="X231" s="20">
        <v>0.7</v>
      </c>
      <c r="Y231" s="20" t="s">
        <v>196</v>
      </c>
      <c r="Z231" s="20" t="s">
        <v>219</v>
      </c>
      <c r="AE231" s="110"/>
      <c r="AM231" s="22"/>
      <c r="AN231" s="22"/>
      <c r="AO231" s="43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V231" s="33"/>
      <c r="CW231" s="116"/>
      <c r="CX231" s="47"/>
      <c r="CY231" s="47"/>
      <c r="DJ231" s="33"/>
      <c r="DK231" s="33"/>
      <c r="DL231" s="33"/>
      <c r="DM231" s="33"/>
      <c r="DN231" s="33"/>
      <c r="DO231" s="33"/>
      <c r="DP231" s="33"/>
      <c r="DQ231" s="33"/>
      <c r="DR231" s="33"/>
      <c r="DS231" s="33"/>
      <c r="DT231" s="33"/>
      <c r="DU231" s="33"/>
      <c r="DV231" s="33"/>
      <c r="DW231" s="33"/>
      <c r="DX231" s="33"/>
      <c r="DY231" s="33"/>
      <c r="DZ231" s="33"/>
      <c r="EA231" s="33"/>
      <c r="EB231" s="33"/>
      <c r="EC231" s="33"/>
      <c r="ED231" s="33"/>
      <c r="EE231" s="33"/>
      <c r="EF231" s="33"/>
      <c r="EG231" s="33"/>
      <c r="EH231" s="33"/>
      <c r="EI231" s="33"/>
      <c r="EJ231" s="33"/>
      <c r="EK231" s="33"/>
      <c r="EL231" s="33"/>
      <c r="EM231" s="33"/>
      <c r="EN231" s="33"/>
      <c r="EO231" s="33"/>
      <c r="EP231" s="33"/>
      <c r="EQ231" s="33"/>
      <c r="ER231" s="33"/>
      <c r="ES231" s="33"/>
      <c r="ET231" s="33"/>
      <c r="EU231" s="33"/>
      <c r="EV231" s="33"/>
      <c r="EW231" s="33"/>
      <c r="EX231" s="33"/>
      <c r="EY231" s="33"/>
      <c r="EZ231" s="33"/>
      <c r="FA231" s="33"/>
      <c r="FB231" s="33"/>
      <c r="FC231" s="33"/>
      <c r="FD231" s="33"/>
      <c r="FE231" s="33"/>
      <c r="FF231" s="33"/>
      <c r="FG231" s="33"/>
      <c r="FH231" s="33"/>
      <c r="FI231" s="33"/>
      <c r="FJ231" s="33"/>
      <c r="FK231" s="33"/>
      <c r="FL231" s="33"/>
      <c r="FM231" s="33"/>
      <c r="FN231" s="33"/>
      <c r="FO231" s="33"/>
      <c r="FP231" s="33"/>
      <c r="FQ231" s="33"/>
      <c r="FR231" s="33"/>
      <c r="FS231" s="33"/>
      <c r="FT231" s="33"/>
      <c r="FU231" s="33"/>
      <c r="FV231" s="33"/>
      <c r="FW231" s="33"/>
      <c r="FX231" s="33"/>
      <c r="FY231" s="33"/>
      <c r="FZ231" s="33"/>
      <c r="GA231" s="33"/>
    </row>
    <row r="232" ht="15.75" customHeight="1">
      <c r="A232" s="20" t="s">
        <v>493</v>
      </c>
      <c r="B232" s="20"/>
      <c r="C232" s="22"/>
      <c r="D232" s="22"/>
      <c r="E232" s="22"/>
      <c r="F232" s="22"/>
      <c r="G232" s="22"/>
      <c r="H232" s="22"/>
      <c r="I232" s="22"/>
      <c r="J232" s="22"/>
      <c r="K232" s="23"/>
      <c r="L232" s="23"/>
      <c r="M232" s="23"/>
      <c r="N232" s="23"/>
      <c r="O232" s="22"/>
      <c r="P232" s="24"/>
      <c r="Q232" s="24" t="str">
        <f t="shared" si="12"/>
        <v>fine-grained, banded and veined, white marble</v>
      </c>
      <c r="R232" s="20" t="s">
        <v>180</v>
      </c>
      <c r="S232" s="20" t="s">
        <v>189</v>
      </c>
      <c r="T232" s="20" t="s">
        <v>243</v>
      </c>
      <c r="U232" s="20" t="s">
        <v>181</v>
      </c>
      <c r="V232" s="22"/>
      <c r="W232" s="20" t="s">
        <v>166</v>
      </c>
      <c r="X232" s="20">
        <v>1.3</v>
      </c>
      <c r="Y232" s="20" t="s">
        <v>209</v>
      </c>
      <c r="Z232" s="20" t="s">
        <v>184</v>
      </c>
      <c r="AE232" s="110"/>
      <c r="AM232" s="22"/>
      <c r="AN232" s="22"/>
      <c r="AO232" s="43">
        <f>SUM(AP232,AQ232,AR232)</f>
        <v>0</v>
      </c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V232" s="33" t="s">
        <v>164</v>
      </c>
      <c r="CW232" s="116"/>
      <c r="CX232" s="47"/>
      <c r="CY232" s="47"/>
      <c r="DJ232" s="33"/>
      <c r="DK232" s="33"/>
      <c r="DL232" s="33"/>
      <c r="DM232" s="33"/>
      <c r="DN232" s="33"/>
      <c r="DO232" s="33"/>
      <c r="DP232" s="33"/>
      <c r="DQ232" s="33"/>
      <c r="DR232" s="33"/>
      <c r="DS232" s="33"/>
      <c r="DT232" s="33"/>
      <c r="DU232" s="33"/>
      <c r="DV232" s="33"/>
      <c r="DW232" s="33"/>
      <c r="DX232" s="33"/>
      <c r="DY232" s="33"/>
      <c r="DZ232" s="33"/>
      <c r="EA232" s="33"/>
      <c r="EB232" s="33"/>
      <c r="EC232" s="33"/>
      <c r="ED232" s="33"/>
      <c r="EE232" s="33"/>
      <c r="EF232" s="33"/>
      <c r="EG232" s="33"/>
      <c r="EH232" s="33"/>
      <c r="EI232" s="33"/>
      <c r="EJ232" s="33"/>
      <c r="EK232" s="33"/>
      <c r="EL232" s="33"/>
      <c r="EM232" s="33"/>
      <c r="EN232" s="33"/>
      <c r="EO232" s="33"/>
      <c r="EP232" s="33"/>
      <c r="EQ232" s="33"/>
      <c r="ER232" s="33"/>
      <c r="ES232" s="33"/>
      <c r="ET232" s="33"/>
      <c r="EU232" s="33"/>
      <c r="EV232" s="33"/>
      <c r="EW232" s="33"/>
      <c r="EX232" s="33"/>
      <c r="EY232" s="33"/>
      <c r="EZ232" s="33"/>
      <c r="FA232" s="33"/>
      <c r="FB232" s="33"/>
      <c r="FC232" s="33"/>
      <c r="FD232" s="33"/>
      <c r="FE232" s="33"/>
      <c r="FF232" s="33"/>
      <c r="FG232" s="33"/>
      <c r="FH232" s="33"/>
      <c r="FI232" s="33"/>
      <c r="FJ232" s="33"/>
      <c r="FK232" s="33"/>
      <c r="FL232" s="33"/>
      <c r="FM232" s="33"/>
      <c r="FN232" s="33"/>
      <c r="FO232" s="33"/>
      <c r="FP232" s="33"/>
      <c r="FQ232" s="33"/>
      <c r="FR232" s="33"/>
      <c r="FS232" s="33"/>
      <c r="FT232" s="33"/>
      <c r="FU232" s="33"/>
      <c r="FV232" s="33"/>
      <c r="FW232" s="33"/>
      <c r="FX232" s="33"/>
      <c r="FY232" s="33"/>
      <c r="FZ232" s="33"/>
      <c r="GA232" s="33"/>
    </row>
    <row r="233" ht="15.75" customHeight="1">
      <c r="A233" s="20" t="s">
        <v>494</v>
      </c>
      <c r="B233" s="20"/>
      <c r="C233" s="22"/>
      <c r="D233" s="22"/>
      <c r="E233" s="22"/>
      <c r="F233" s="22"/>
      <c r="G233" s="22"/>
      <c r="H233" s="22"/>
      <c r="I233" s="22"/>
      <c r="J233" s="22"/>
      <c r="K233" s="23"/>
      <c r="L233" s="23"/>
      <c r="M233" s="23"/>
      <c r="N233" s="23"/>
      <c r="O233" s="22"/>
      <c r="P233" s="24"/>
      <c r="Q233" s="24" t="str">
        <f t="shared" si="12"/>
        <v>-grained, homogeneous, white marble</v>
      </c>
      <c r="R233" s="22"/>
      <c r="S233" s="20" t="s">
        <v>189</v>
      </c>
      <c r="T233" s="20" t="s">
        <v>194</v>
      </c>
      <c r="U233" s="20" t="s">
        <v>195</v>
      </c>
      <c r="V233" s="22"/>
      <c r="W233" s="20" t="s">
        <v>190</v>
      </c>
      <c r="X233" s="22"/>
      <c r="Y233" s="22"/>
      <c r="Z233" s="22"/>
      <c r="AA233" s="33"/>
      <c r="AB233" s="33"/>
      <c r="AC233" s="33"/>
      <c r="AD233" s="33"/>
      <c r="AE233" s="88"/>
      <c r="AF233" s="33"/>
      <c r="AG233" s="33"/>
      <c r="AH233" s="33"/>
      <c r="AI233" s="33"/>
      <c r="AJ233" s="33"/>
      <c r="AK233" s="33"/>
      <c r="AL233" s="33"/>
      <c r="AM233" s="22"/>
      <c r="AN233" s="22"/>
      <c r="AO233" s="43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141"/>
      <c r="CX233" s="54"/>
      <c r="CY233" s="54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50"/>
      <c r="DK233" s="63"/>
      <c r="DL233" s="63"/>
      <c r="DM233" s="63"/>
      <c r="DN233" s="63"/>
      <c r="DO233" s="63"/>
      <c r="DP233" s="63"/>
      <c r="DQ233" s="63"/>
      <c r="DR233" s="63"/>
      <c r="DS233" s="63"/>
      <c r="DT233" s="63"/>
      <c r="DU233" s="63"/>
      <c r="DV233" s="63"/>
      <c r="DW233" s="63"/>
      <c r="DX233" s="63"/>
      <c r="DY233" s="63"/>
      <c r="DZ233" s="63"/>
      <c r="EA233" s="63"/>
      <c r="EB233" s="63"/>
      <c r="EC233" s="63"/>
      <c r="ED233" s="63"/>
      <c r="EE233" s="63"/>
      <c r="EF233" s="63"/>
      <c r="EG233" s="63"/>
      <c r="EH233" s="63"/>
      <c r="EI233" s="63"/>
      <c r="EJ233" s="63"/>
      <c r="EK233" s="63"/>
      <c r="EL233" s="63"/>
      <c r="EM233" s="63"/>
      <c r="EN233" s="63"/>
      <c r="EO233" s="63"/>
      <c r="EP233" s="63"/>
      <c r="EQ233" s="63"/>
      <c r="ER233" s="63"/>
      <c r="ES233" s="63"/>
      <c r="ET233" s="63"/>
      <c r="EU233" s="63"/>
      <c r="EV233" s="63"/>
      <c r="EW233" s="63"/>
      <c r="EX233" s="63"/>
      <c r="EY233" s="63"/>
      <c r="EZ233" s="40"/>
      <c r="FA233" s="33"/>
      <c r="FB233" s="33"/>
      <c r="FC233" s="33"/>
      <c r="FD233" s="33"/>
      <c r="FE233" s="33"/>
      <c r="FF233" s="33"/>
      <c r="FG233" s="33"/>
      <c r="FH233" s="33"/>
      <c r="FI233" s="33"/>
      <c r="FJ233" s="33"/>
      <c r="FK233" s="33"/>
      <c r="FL233" s="33"/>
      <c r="FM233" s="33"/>
      <c r="FN233" s="33"/>
      <c r="FO233" s="33"/>
      <c r="FP233" s="33"/>
      <c r="FQ233" s="33"/>
      <c r="FR233" s="33"/>
      <c r="FS233" s="33"/>
      <c r="FT233" s="33"/>
      <c r="FU233" s="33"/>
      <c r="FV233" s="33"/>
      <c r="FW233" s="33"/>
      <c r="FX233" s="33"/>
      <c r="FY233" s="33"/>
      <c r="FZ233" s="33"/>
      <c r="GA233" s="33"/>
    </row>
    <row r="234" ht="15.75" customHeight="1">
      <c r="A234" s="20" t="s">
        <v>495</v>
      </c>
      <c r="B234" s="20"/>
      <c r="C234" s="21"/>
      <c r="D234" s="21"/>
      <c r="E234" s="21"/>
      <c r="F234" s="21"/>
      <c r="G234" s="21"/>
      <c r="H234" s="21"/>
      <c r="I234" s="21"/>
      <c r="J234" s="21"/>
      <c r="K234" s="23"/>
      <c r="L234" s="23"/>
      <c r="M234" s="23"/>
      <c r="N234" s="23"/>
      <c r="O234" s="22"/>
      <c r="P234" s="24"/>
      <c r="Q234" s="24" t="str">
        <f t="shared" si="12"/>
        <v>fine-grained, homogeneous, white marble</v>
      </c>
      <c r="R234" s="20" t="s">
        <v>180</v>
      </c>
      <c r="S234" s="20" t="s">
        <v>189</v>
      </c>
      <c r="T234" s="20" t="s">
        <v>194</v>
      </c>
      <c r="U234" s="20" t="s">
        <v>195</v>
      </c>
      <c r="V234" s="22"/>
      <c r="W234" s="20" t="s">
        <v>166</v>
      </c>
      <c r="X234" s="20">
        <v>1.7</v>
      </c>
      <c r="Y234" s="20" t="s">
        <v>191</v>
      </c>
      <c r="Z234" s="20" t="s">
        <v>213</v>
      </c>
      <c r="AE234" s="110"/>
      <c r="AM234" s="22"/>
      <c r="AN234" s="22"/>
      <c r="AO234" s="43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V234" s="33"/>
      <c r="CW234" s="116"/>
      <c r="CX234" s="47"/>
      <c r="CY234" s="47"/>
      <c r="DJ234" s="134"/>
      <c r="DK234" s="63"/>
      <c r="DL234" s="63"/>
      <c r="DM234" s="63"/>
      <c r="DN234" s="63"/>
      <c r="DO234" s="63"/>
      <c r="DP234" s="63"/>
      <c r="DQ234" s="63"/>
      <c r="DR234" s="63"/>
      <c r="DS234" s="63"/>
      <c r="DT234" s="63"/>
      <c r="DU234" s="63"/>
      <c r="DV234" s="63"/>
      <c r="DW234" s="63"/>
      <c r="DX234" s="63"/>
      <c r="DY234" s="63"/>
      <c r="DZ234" s="63"/>
      <c r="EA234" s="63"/>
      <c r="EB234" s="63"/>
      <c r="EC234" s="63"/>
      <c r="ED234" s="63"/>
      <c r="EE234" s="63"/>
      <c r="EF234" s="63"/>
      <c r="EG234" s="63"/>
      <c r="EH234" s="63"/>
      <c r="EI234" s="63"/>
      <c r="EJ234" s="63"/>
      <c r="EK234" s="63"/>
      <c r="EL234" s="63"/>
      <c r="EM234" s="63"/>
      <c r="EN234" s="63"/>
      <c r="EO234" s="63"/>
      <c r="EP234" s="63"/>
      <c r="EQ234" s="63"/>
      <c r="ER234" s="63"/>
      <c r="ES234" s="63"/>
      <c r="ET234" s="63"/>
      <c r="EU234" s="63"/>
      <c r="EV234" s="63"/>
      <c r="EW234" s="63"/>
      <c r="EX234" s="63"/>
      <c r="EY234" s="63"/>
      <c r="EZ234" s="33"/>
      <c r="FA234" s="33"/>
      <c r="FB234" s="33"/>
      <c r="FC234" s="33"/>
      <c r="FD234" s="33"/>
      <c r="FE234" s="33"/>
      <c r="FF234" s="33"/>
      <c r="FG234" s="33"/>
      <c r="FH234" s="33"/>
      <c r="FI234" s="33"/>
      <c r="FJ234" s="33"/>
      <c r="FK234" s="33"/>
      <c r="FL234" s="33"/>
      <c r="FM234" s="33"/>
      <c r="FN234" s="33"/>
      <c r="FO234" s="33"/>
      <c r="FP234" s="33"/>
      <c r="FQ234" s="33"/>
      <c r="FR234" s="33"/>
      <c r="FS234" s="33"/>
      <c r="FT234" s="33"/>
      <c r="FU234" s="33"/>
      <c r="FV234" s="33"/>
      <c r="FW234" s="33"/>
      <c r="FX234" s="33"/>
      <c r="FY234" s="33"/>
      <c r="FZ234" s="33"/>
      <c r="GA234" s="33"/>
    </row>
    <row r="235" ht="15.75" customHeight="1">
      <c r="A235" s="20" t="s">
        <v>496</v>
      </c>
      <c r="B235" s="20"/>
      <c r="C235" s="21"/>
      <c r="D235" s="21"/>
      <c r="E235" s="21"/>
      <c r="F235" s="21"/>
      <c r="G235" s="21"/>
      <c r="H235" s="21"/>
      <c r="I235" s="21"/>
      <c r="J235" s="21"/>
      <c r="K235" s="23"/>
      <c r="L235" s="23"/>
      <c r="M235" s="23"/>
      <c r="N235" s="23"/>
      <c r="O235" s="22"/>
      <c r="P235" s="24"/>
      <c r="Q235" s="24" t="str">
        <f t="shared" si="12"/>
        <v>fine-grained, banded, grey marble</v>
      </c>
      <c r="R235" s="20" t="s">
        <v>180</v>
      </c>
      <c r="S235" s="20" t="s">
        <v>181</v>
      </c>
      <c r="T235" s="20" t="s">
        <v>182</v>
      </c>
      <c r="U235" s="20" t="s">
        <v>189</v>
      </c>
      <c r="V235" s="22"/>
      <c r="W235" s="20" t="s">
        <v>166</v>
      </c>
      <c r="X235" s="20">
        <v>0.3</v>
      </c>
      <c r="Y235" s="20" t="s">
        <v>196</v>
      </c>
      <c r="Z235" s="20" t="s">
        <v>198</v>
      </c>
      <c r="AE235" s="110"/>
      <c r="AM235" s="22"/>
      <c r="AN235" s="22"/>
      <c r="AO235" s="43">
        <f t="shared" ref="AO235:AO236" si="15">SUM(AP235,AQ235,AR235)</f>
        <v>0</v>
      </c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V235" s="33" t="s">
        <v>164</v>
      </c>
      <c r="CW235" s="116"/>
      <c r="CX235" s="47"/>
      <c r="CY235" s="47"/>
      <c r="DJ235" s="134"/>
      <c r="DK235" s="63"/>
      <c r="DL235" s="63"/>
      <c r="DM235" s="63"/>
      <c r="DN235" s="63"/>
      <c r="DO235" s="63"/>
      <c r="DP235" s="63"/>
      <c r="DQ235" s="63"/>
      <c r="DR235" s="63"/>
      <c r="DS235" s="63"/>
      <c r="DT235" s="63"/>
      <c r="DU235" s="63"/>
      <c r="DV235" s="63"/>
      <c r="DW235" s="63"/>
      <c r="DX235" s="63"/>
      <c r="DY235" s="63"/>
      <c r="DZ235" s="63"/>
      <c r="EA235" s="63"/>
      <c r="EB235" s="63"/>
      <c r="EC235" s="63"/>
      <c r="ED235" s="63"/>
      <c r="EE235" s="63"/>
      <c r="EF235" s="63"/>
      <c r="EG235" s="63"/>
      <c r="EH235" s="63"/>
      <c r="EI235" s="63"/>
      <c r="EJ235" s="63"/>
      <c r="EK235" s="63"/>
      <c r="EL235" s="63"/>
      <c r="EM235" s="63"/>
      <c r="EN235" s="63"/>
      <c r="EO235" s="63"/>
      <c r="EP235" s="63"/>
      <c r="EQ235" s="63"/>
      <c r="ER235" s="63"/>
      <c r="ES235" s="63"/>
      <c r="ET235" s="63"/>
      <c r="EU235" s="63"/>
      <c r="EV235" s="63"/>
      <c r="EW235" s="63"/>
      <c r="EX235" s="63"/>
      <c r="EY235" s="63"/>
      <c r="EZ235" s="33"/>
      <c r="FA235" s="33"/>
      <c r="FB235" s="33"/>
      <c r="FC235" s="33"/>
      <c r="FD235" s="33"/>
      <c r="FE235" s="33"/>
      <c r="FF235" s="33"/>
      <c r="FG235" s="33"/>
      <c r="FH235" s="33"/>
      <c r="FI235" s="33"/>
      <c r="FJ235" s="33"/>
      <c r="FK235" s="33"/>
      <c r="FL235" s="33"/>
      <c r="FM235" s="33"/>
      <c r="FN235" s="33"/>
      <c r="FO235" s="33"/>
      <c r="FP235" s="33"/>
      <c r="FQ235" s="33"/>
      <c r="FR235" s="33"/>
      <c r="FS235" s="33"/>
      <c r="FT235" s="33"/>
      <c r="FU235" s="33"/>
      <c r="FV235" s="33"/>
      <c r="FW235" s="33"/>
      <c r="FX235" s="33"/>
      <c r="FY235" s="33"/>
      <c r="FZ235" s="33"/>
      <c r="GA235" s="33"/>
    </row>
    <row r="236" ht="15.75" customHeight="1">
      <c r="A236" s="20" t="s">
        <v>497</v>
      </c>
      <c r="B236" s="20"/>
      <c r="C236" s="21"/>
      <c r="D236" s="21"/>
      <c r="E236" s="21"/>
      <c r="F236" s="21"/>
      <c r="G236" s="21"/>
      <c r="H236" s="21"/>
      <c r="I236" s="21"/>
      <c r="J236" s="21"/>
      <c r="K236" s="23"/>
      <c r="L236" s="23"/>
      <c r="M236" s="23"/>
      <c r="N236" s="23"/>
      <c r="O236" s="22"/>
      <c r="P236" s="24"/>
      <c r="Q236" s="24" t="str">
        <f t="shared" si="12"/>
        <v>fine-grained, banded, grey marble</v>
      </c>
      <c r="R236" s="20" t="s">
        <v>180</v>
      </c>
      <c r="S236" s="20" t="s">
        <v>181</v>
      </c>
      <c r="T236" s="20" t="s">
        <v>182</v>
      </c>
      <c r="U236" s="20" t="s">
        <v>189</v>
      </c>
      <c r="V236" s="22"/>
      <c r="W236" s="20" t="s">
        <v>166</v>
      </c>
      <c r="X236" s="20">
        <v>0.6</v>
      </c>
      <c r="Y236" s="20" t="s">
        <v>209</v>
      </c>
      <c r="Z236" s="20" t="s">
        <v>198</v>
      </c>
      <c r="AE236" s="110"/>
      <c r="AM236" s="22"/>
      <c r="AN236" s="22"/>
      <c r="AO236" s="43">
        <f t="shared" si="15"/>
        <v>0</v>
      </c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W236" s="116"/>
      <c r="CX236" s="47"/>
      <c r="CY236" s="47"/>
      <c r="DJ236" s="33"/>
      <c r="DK236" s="33"/>
      <c r="DL236" s="33"/>
      <c r="DM236" s="33"/>
      <c r="DN236" s="33"/>
      <c r="DO236" s="33"/>
      <c r="DP236" s="33"/>
      <c r="DQ236" s="33"/>
      <c r="DR236" s="33"/>
      <c r="DS236" s="33"/>
      <c r="DT236" s="33"/>
      <c r="DU236" s="33"/>
      <c r="DV236" s="33"/>
      <c r="DW236" s="33"/>
      <c r="DX236" s="33"/>
      <c r="DY236" s="33"/>
      <c r="DZ236" s="33"/>
      <c r="EA236" s="33"/>
      <c r="EB236" s="33"/>
      <c r="EC236" s="33"/>
      <c r="ED236" s="33"/>
      <c r="EE236" s="33"/>
      <c r="EF236" s="33"/>
      <c r="EG236" s="33"/>
      <c r="EH236" s="33"/>
      <c r="EI236" s="33"/>
      <c r="EJ236" s="33"/>
      <c r="EK236" s="33"/>
      <c r="EL236" s="33"/>
      <c r="EM236" s="33"/>
      <c r="EN236" s="33"/>
      <c r="EO236" s="33"/>
      <c r="EP236" s="33"/>
      <c r="EQ236" s="33"/>
      <c r="ER236" s="33"/>
      <c r="ES236" s="33"/>
      <c r="ET236" s="33"/>
      <c r="EU236" s="33"/>
      <c r="EV236" s="33"/>
      <c r="EW236" s="33"/>
      <c r="EX236" s="33"/>
      <c r="EY236" s="33"/>
      <c r="EZ236" s="33"/>
      <c r="FA236" s="33"/>
      <c r="FB236" s="33"/>
      <c r="FC236" s="33"/>
      <c r="FD236" s="33"/>
      <c r="FE236" s="33"/>
      <c r="FF236" s="33"/>
      <c r="FG236" s="33"/>
      <c r="FH236" s="33"/>
      <c r="FI236" s="33"/>
      <c r="FJ236" s="33"/>
      <c r="FK236" s="33"/>
      <c r="FL236" s="33"/>
      <c r="FM236" s="33"/>
      <c r="FN236" s="33"/>
      <c r="FO236" s="33"/>
      <c r="FP236" s="33"/>
      <c r="FQ236" s="33"/>
      <c r="FR236" s="33"/>
      <c r="FS236" s="33"/>
      <c r="FT236" s="33"/>
      <c r="FU236" s="33"/>
      <c r="FV236" s="33"/>
      <c r="FW236" s="33"/>
      <c r="FX236" s="33"/>
      <c r="FY236" s="33"/>
      <c r="FZ236" s="33"/>
      <c r="GA236" s="33"/>
    </row>
    <row r="237" ht="15.75" customHeight="1">
      <c r="A237" s="20" t="s">
        <v>498</v>
      </c>
      <c r="B237" s="20"/>
      <c r="K237" s="100"/>
      <c r="L237" s="100"/>
      <c r="M237" s="100"/>
      <c r="N237" s="100"/>
      <c r="O237" s="44"/>
      <c r="P237" s="24"/>
      <c r="Q237" s="24" t="str">
        <f t="shared" si="12"/>
        <v>very fine-grained, homogeneous, white marble</v>
      </c>
      <c r="R237" s="51" t="s">
        <v>188</v>
      </c>
      <c r="S237" s="51" t="s">
        <v>189</v>
      </c>
      <c r="T237" s="51" t="s">
        <v>194</v>
      </c>
      <c r="U237" s="51" t="s">
        <v>195</v>
      </c>
      <c r="V237" s="44"/>
      <c r="W237" s="51" t="s">
        <v>166</v>
      </c>
      <c r="X237" s="51">
        <v>0.5</v>
      </c>
      <c r="Y237" s="51" t="s">
        <v>196</v>
      </c>
      <c r="Z237" s="51" t="s">
        <v>219</v>
      </c>
      <c r="AE237" s="110"/>
      <c r="AM237" s="44"/>
      <c r="AN237" s="44"/>
      <c r="AO237" s="43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  <c r="BB237" s="44"/>
      <c r="BC237" s="44"/>
      <c r="BD237" s="44"/>
      <c r="BE237" s="44"/>
      <c r="BF237" s="44"/>
      <c r="BG237" s="44"/>
      <c r="BH237" s="44"/>
      <c r="BI237" s="44"/>
      <c r="BJ237" s="44"/>
      <c r="BK237" s="44"/>
      <c r="BL237" s="44"/>
      <c r="BM237" s="44"/>
      <c r="BN237" s="44"/>
      <c r="BO237" s="44"/>
      <c r="BP237" s="44"/>
      <c r="BQ237" s="44"/>
      <c r="BR237" s="44"/>
      <c r="BS237" s="44"/>
      <c r="BT237" s="44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W237" s="116"/>
      <c r="CX237" s="47"/>
      <c r="CY237" s="47"/>
      <c r="DJ237" s="147"/>
      <c r="DK237" s="63"/>
      <c r="DL237" s="63"/>
      <c r="DM237" s="63"/>
      <c r="DN237" s="63"/>
      <c r="DO237" s="63"/>
      <c r="DP237" s="63"/>
      <c r="DQ237" s="63"/>
      <c r="DR237" s="63"/>
      <c r="DS237" s="63"/>
      <c r="DT237" s="63"/>
      <c r="DU237" s="63"/>
      <c r="DV237" s="63"/>
      <c r="DW237" s="63"/>
      <c r="DX237" s="63"/>
      <c r="DY237" s="63"/>
      <c r="DZ237" s="63"/>
      <c r="EA237" s="63"/>
      <c r="EB237" s="63"/>
      <c r="EC237" s="63"/>
      <c r="ED237" s="63"/>
      <c r="EE237" s="63"/>
      <c r="EF237" s="63"/>
      <c r="EG237" s="63"/>
      <c r="EH237" s="63"/>
      <c r="EI237" s="63"/>
      <c r="EJ237" s="63"/>
      <c r="EK237" s="63"/>
      <c r="EL237" s="63"/>
      <c r="EM237" s="63"/>
      <c r="EN237" s="63"/>
      <c r="EO237" s="63"/>
      <c r="EP237" s="63"/>
      <c r="EQ237" s="63"/>
      <c r="ER237" s="63"/>
      <c r="ES237" s="63"/>
      <c r="ET237" s="63"/>
      <c r="EU237" s="63"/>
      <c r="EV237" s="63"/>
      <c r="EW237" s="63"/>
      <c r="EX237" s="63"/>
      <c r="EY237" s="63"/>
      <c r="EZ237" s="33"/>
      <c r="FA237" s="33"/>
      <c r="FB237" s="33"/>
      <c r="FC237" s="33"/>
      <c r="FD237" s="33"/>
      <c r="FE237" s="33"/>
      <c r="FF237" s="33"/>
      <c r="FG237" s="33"/>
      <c r="FH237" s="33"/>
      <c r="FI237" s="33"/>
      <c r="FJ237" s="33"/>
      <c r="FK237" s="33"/>
      <c r="FL237" s="33"/>
      <c r="FM237" s="33"/>
      <c r="FN237" s="33"/>
      <c r="FO237" s="33"/>
      <c r="FP237" s="33"/>
      <c r="FQ237" s="33"/>
      <c r="FR237" s="33"/>
      <c r="FS237" s="33"/>
      <c r="FT237" s="33"/>
      <c r="FU237" s="33"/>
      <c r="FV237" s="33"/>
      <c r="FW237" s="33"/>
      <c r="FX237" s="33"/>
      <c r="FY237" s="33"/>
      <c r="FZ237" s="33"/>
      <c r="GA237" s="33"/>
    </row>
    <row r="238" ht="15.75" customHeight="1">
      <c r="A238" s="20" t="s">
        <v>499</v>
      </c>
      <c r="B238" s="20"/>
      <c r="C238" s="152"/>
      <c r="D238" s="152"/>
      <c r="E238" s="152"/>
      <c r="F238" s="152"/>
      <c r="G238" s="152"/>
      <c r="H238" s="152"/>
      <c r="I238" s="152"/>
      <c r="J238" s="152"/>
      <c r="K238" s="153"/>
      <c r="L238" s="153"/>
      <c r="M238" s="153"/>
      <c r="N238" s="153"/>
      <c r="O238" s="152"/>
      <c r="P238" s="154"/>
      <c r="Q238" s="24" t="str">
        <f t="shared" si="12"/>
        <v>medium-grained, homogeneous, white marble</v>
      </c>
      <c r="R238" s="155" t="s">
        <v>205</v>
      </c>
      <c r="S238" s="155" t="s">
        <v>189</v>
      </c>
      <c r="T238" s="155" t="s">
        <v>194</v>
      </c>
      <c r="U238" s="155" t="s">
        <v>195</v>
      </c>
      <c r="V238" s="152"/>
      <c r="W238" s="155" t="s">
        <v>166</v>
      </c>
      <c r="X238" s="155">
        <v>2.2</v>
      </c>
      <c r="Y238" s="155" t="s">
        <v>196</v>
      </c>
      <c r="Z238" s="155" t="s">
        <v>198</v>
      </c>
      <c r="AB238" s="106" t="s">
        <v>166</v>
      </c>
      <c r="AC238" s="106">
        <v>2.8</v>
      </c>
      <c r="AD238" s="106" t="s">
        <v>209</v>
      </c>
      <c r="AE238" s="107" t="s">
        <v>245</v>
      </c>
      <c r="AF238" s="106" t="s">
        <v>186</v>
      </c>
      <c r="AM238" s="152"/>
      <c r="AN238" s="152"/>
      <c r="AO238" s="43">
        <f>SUM(AP238,AQ238,AR238)</f>
        <v>0</v>
      </c>
      <c r="AP238" s="152"/>
      <c r="AQ238" s="152"/>
      <c r="AR238" s="152"/>
      <c r="AS238" s="152"/>
      <c r="AT238" s="152"/>
      <c r="AU238" s="152"/>
      <c r="AV238" s="152"/>
      <c r="AW238" s="152"/>
      <c r="AX238" s="152"/>
      <c r="AY238" s="152"/>
      <c r="AZ238" s="152"/>
      <c r="BA238" s="152"/>
      <c r="BB238" s="152"/>
      <c r="BC238" s="152"/>
      <c r="BD238" s="152"/>
      <c r="BE238" s="152"/>
      <c r="BF238" s="152"/>
      <c r="BG238" s="152"/>
      <c r="BH238" s="152"/>
      <c r="BI238" s="152"/>
      <c r="BJ238" s="152"/>
      <c r="BK238" s="152"/>
      <c r="BL238" s="152"/>
      <c r="BM238" s="152"/>
      <c r="BN238" s="152"/>
      <c r="BO238" s="152"/>
      <c r="BP238" s="152"/>
      <c r="BQ238" s="152"/>
      <c r="BR238" s="152"/>
      <c r="BS238" s="152"/>
      <c r="BT238" s="152"/>
      <c r="BU238" s="152"/>
      <c r="BV238" s="152"/>
      <c r="BW238" s="152"/>
      <c r="BX238" s="152"/>
      <c r="BY238" s="152"/>
      <c r="BZ238" s="152"/>
      <c r="CW238" s="132" t="s">
        <v>166</v>
      </c>
      <c r="CX238" s="118">
        <v>1.6</v>
      </c>
      <c r="CY238" s="118">
        <v>-3.26</v>
      </c>
      <c r="DJ238" s="134"/>
      <c r="DK238" s="63"/>
      <c r="DL238" s="63"/>
      <c r="DM238" s="63"/>
      <c r="DN238" s="63"/>
      <c r="DO238" s="63"/>
      <c r="DP238" s="63"/>
      <c r="DQ238" s="63"/>
      <c r="DR238" s="63"/>
      <c r="DS238" s="63"/>
      <c r="DT238" s="63"/>
      <c r="DU238" s="63"/>
      <c r="DV238" s="63"/>
      <c r="DW238" s="63"/>
      <c r="DX238" s="63"/>
      <c r="DY238" s="63"/>
      <c r="DZ238" s="63"/>
      <c r="EA238" s="63"/>
      <c r="EB238" s="63"/>
      <c r="EC238" s="63"/>
      <c r="ED238" s="63"/>
      <c r="EE238" s="63"/>
      <c r="EF238" s="63"/>
      <c r="EG238" s="63"/>
      <c r="EH238" s="63"/>
      <c r="EI238" s="63"/>
      <c r="EJ238" s="63"/>
      <c r="EK238" s="63"/>
      <c r="EL238" s="63"/>
      <c r="EM238" s="63"/>
      <c r="EN238" s="63"/>
      <c r="EO238" s="63"/>
      <c r="EP238" s="63"/>
      <c r="EQ238" s="63"/>
      <c r="ER238" s="63"/>
      <c r="ES238" s="63"/>
      <c r="ET238" s="63"/>
      <c r="EU238" s="63"/>
      <c r="EV238" s="63"/>
      <c r="EW238" s="63"/>
      <c r="EX238" s="63"/>
      <c r="EY238" s="63"/>
      <c r="EZ238" s="33"/>
      <c r="FA238" s="33"/>
      <c r="FB238" s="33"/>
      <c r="FC238" s="33"/>
      <c r="FD238" s="33"/>
      <c r="FE238" s="33"/>
      <c r="FF238" s="33"/>
      <c r="FG238" s="33"/>
      <c r="FH238" s="33"/>
      <c r="FI238" s="33"/>
      <c r="FJ238" s="33"/>
      <c r="FK238" s="33"/>
      <c r="FL238" s="33"/>
      <c r="FM238" s="33"/>
      <c r="FN238" s="33"/>
      <c r="FO238" s="33"/>
      <c r="FP238" s="33"/>
      <c r="FQ238" s="33"/>
      <c r="FR238" s="33"/>
      <c r="FS238" s="33"/>
      <c r="FT238" s="33"/>
      <c r="FU238" s="33"/>
      <c r="FV238" s="33"/>
      <c r="FW238" s="33"/>
      <c r="FX238" s="33"/>
      <c r="FY238" s="33"/>
      <c r="FZ238" s="33"/>
      <c r="GA238" s="33"/>
    </row>
    <row r="239" ht="15.75" customHeight="1">
      <c r="A239" s="20" t="s">
        <v>500</v>
      </c>
      <c r="B239" s="20"/>
      <c r="C239" s="156"/>
      <c r="D239" s="156"/>
      <c r="E239" s="156"/>
      <c r="F239" s="156"/>
      <c r="G239" s="156"/>
      <c r="H239" s="156"/>
      <c r="I239" s="156"/>
      <c r="J239" s="156"/>
      <c r="K239" s="157"/>
      <c r="L239" s="157"/>
      <c r="M239" s="157"/>
      <c r="N239" s="157"/>
      <c r="O239" s="156"/>
      <c r="P239" s="158"/>
      <c r="Q239" s="24" t="str">
        <f t="shared" si="12"/>
        <v>fine-grained, homogeneous, white marble</v>
      </c>
      <c r="R239" s="159" t="s">
        <v>180</v>
      </c>
      <c r="S239" s="159" t="s">
        <v>189</v>
      </c>
      <c r="T239" s="159" t="s">
        <v>194</v>
      </c>
      <c r="U239" s="159" t="s">
        <v>195</v>
      </c>
      <c r="V239" s="156"/>
      <c r="W239" s="159" t="s">
        <v>166</v>
      </c>
      <c r="X239" s="159">
        <v>1.7</v>
      </c>
      <c r="Y239" s="159" t="s">
        <v>219</v>
      </c>
      <c r="Z239" s="159" t="s">
        <v>219</v>
      </c>
      <c r="AE239" s="110"/>
      <c r="AM239" s="156"/>
      <c r="AN239" s="156"/>
      <c r="AO239" s="43"/>
      <c r="AP239" s="156"/>
      <c r="AQ239" s="156"/>
      <c r="AR239" s="156"/>
      <c r="AS239" s="156"/>
      <c r="AT239" s="156"/>
      <c r="AU239" s="156"/>
      <c r="AV239" s="156"/>
      <c r="AW239" s="156"/>
      <c r="AX239" s="156"/>
      <c r="AY239" s="156"/>
      <c r="AZ239" s="156"/>
      <c r="BA239" s="156"/>
      <c r="BB239" s="156"/>
      <c r="BC239" s="156"/>
      <c r="BD239" s="156"/>
      <c r="BE239" s="156"/>
      <c r="BF239" s="156"/>
      <c r="BG239" s="156"/>
      <c r="BH239" s="156"/>
      <c r="BI239" s="156"/>
      <c r="BJ239" s="156"/>
      <c r="BK239" s="156"/>
      <c r="BL239" s="156"/>
      <c r="BM239" s="156"/>
      <c r="BN239" s="156"/>
      <c r="BO239" s="156"/>
      <c r="BP239" s="156"/>
      <c r="BQ239" s="156"/>
      <c r="BR239" s="156"/>
      <c r="BS239" s="156"/>
      <c r="BT239" s="156"/>
      <c r="BU239" s="156"/>
      <c r="BV239" s="156"/>
      <c r="BW239" s="156"/>
      <c r="BX239" s="156"/>
      <c r="BY239" s="156"/>
      <c r="BZ239" s="156"/>
      <c r="CA239" s="21"/>
      <c r="CB239" s="21"/>
      <c r="CC239" s="21"/>
      <c r="CD239" s="21"/>
      <c r="CW239" s="104"/>
      <c r="CX239" s="104"/>
      <c r="CY239" s="104"/>
      <c r="DJ239" s="134"/>
      <c r="DK239" s="63"/>
      <c r="DL239" s="63"/>
      <c r="DM239" s="63"/>
      <c r="DN239" s="63"/>
      <c r="DO239" s="150"/>
      <c r="DP239" s="63"/>
      <c r="DQ239" s="63"/>
      <c r="DR239" s="63"/>
      <c r="DS239" s="63"/>
      <c r="DT239" s="63"/>
      <c r="DU239" s="63"/>
      <c r="DV239" s="63"/>
      <c r="DW239" s="63"/>
      <c r="DX239" s="63"/>
      <c r="DY239" s="63"/>
      <c r="DZ239" s="63"/>
      <c r="EA239" s="63"/>
      <c r="EB239" s="63"/>
      <c r="EC239" s="63"/>
      <c r="ED239" s="63"/>
      <c r="EE239" s="63"/>
      <c r="EF239" s="63"/>
      <c r="EG239" s="63"/>
      <c r="EH239" s="63"/>
      <c r="EI239" s="63"/>
      <c r="EJ239" s="63"/>
      <c r="EK239" s="63"/>
      <c r="EL239" s="63"/>
      <c r="EM239" s="63"/>
      <c r="EN239" s="63"/>
      <c r="EO239" s="63"/>
      <c r="EP239" s="63"/>
      <c r="EQ239" s="63"/>
      <c r="ER239" s="63"/>
      <c r="ES239" s="63"/>
      <c r="ET239" s="63"/>
      <c r="EU239" s="63"/>
      <c r="EV239" s="63"/>
      <c r="EW239" s="63"/>
      <c r="EX239" s="63"/>
      <c r="EY239" s="63"/>
      <c r="EZ239" s="33"/>
      <c r="FA239" s="33"/>
      <c r="FB239" s="33"/>
      <c r="FC239" s="33"/>
      <c r="FD239" s="33"/>
      <c r="FE239" s="33"/>
      <c r="FF239" s="33"/>
      <c r="FG239" s="33"/>
      <c r="FH239" s="33"/>
      <c r="FI239" s="33"/>
      <c r="FJ239" s="33"/>
      <c r="FK239" s="33"/>
      <c r="FL239" s="33"/>
      <c r="FM239" s="33"/>
      <c r="FN239" s="33"/>
      <c r="FO239" s="33"/>
      <c r="FP239" s="33"/>
      <c r="FQ239" s="33"/>
      <c r="FR239" s="33"/>
      <c r="FS239" s="33"/>
      <c r="FT239" s="33"/>
      <c r="FU239" s="33"/>
      <c r="FV239" s="33"/>
      <c r="FW239" s="33"/>
      <c r="FX239" s="33"/>
      <c r="FY239" s="33"/>
      <c r="FZ239" s="33"/>
      <c r="GA239" s="33"/>
    </row>
    <row r="240" ht="15.75" customHeight="1">
      <c r="A240" s="20" t="s">
        <v>501</v>
      </c>
      <c r="B240" s="20"/>
      <c r="C240" s="156"/>
      <c r="D240" s="156"/>
      <c r="E240" s="156"/>
      <c r="F240" s="156"/>
      <c r="G240" s="156"/>
      <c r="H240" s="156"/>
      <c r="I240" s="156"/>
      <c r="J240" s="156"/>
      <c r="K240" s="157"/>
      <c r="L240" s="157"/>
      <c r="M240" s="157"/>
      <c r="N240" s="157"/>
      <c r="O240" s="156"/>
      <c r="P240" s="158"/>
      <c r="Q240" s="24" t="str">
        <f t="shared" si="12"/>
        <v>fine-grained, homogeneous, white marble</v>
      </c>
      <c r="R240" s="159" t="s">
        <v>180</v>
      </c>
      <c r="S240" s="159" t="s">
        <v>189</v>
      </c>
      <c r="T240" s="159" t="s">
        <v>194</v>
      </c>
      <c r="U240" s="159" t="s">
        <v>195</v>
      </c>
      <c r="V240" s="156"/>
      <c r="W240" s="159" t="s">
        <v>166</v>
      </c>
      <c r="X240" s="159">
        <v>1.7</v>
      </c>
      <c r="Y240" s="159" t="s">
        <v>219</v>
      </c>
      <c r="Z240" s="159" t="s">
        <v>219</v>
      </c>
      <c r="AE240" s="110"/>
      <c r="AM240" s="156"/>
      <c r="AN240" s="156"/>
      <c r="AO240" s="43"/>
      <c r="AP240" s="156"/>
      <c r="AQ240" s="156"/>
      <c r="AR240" s="156"/>
      <c r="AS240" s="156"/>
      <c r="AT240" s="156"/>
      <c r="AU240" s="156"/>
      <c r="AV240" s="156"/>
      <c r="AW240" s="156"/>
      <c r="AX240" s="156"/>
      <c r="AY240" s="156"/>
      <c r="AZ240" s="156"/>
      <c r="BA240" s="156"/>
      <c r="BB240" s="156"/>
      <c r="BC240" s="156"/>
      <c r="BD240" s="156"/>
      <c r="BE240" s="156"/>
      <c r="BF240" s="156"/>
      <c r="BG240" s="156"/>
      <c r="BH240" s="156"/>
      <c r="BI240" s="156"/>
      <c r="BJ240" s="156"/>
      <c r="BK240" s="156"/>
      <c r="BL240" s="156"/>
      <c r="BM240" s="156"/>
      <c r="BN240" s="156"/>
      <c r="BO240" s="156"/>
      <c r="BP240" s="156"/>
      <c r="BQ240" s="156"/>
      <c r="BR240" s="156"/>
      <c r="BS240" s="156"/>
      <c r="BT240" s="156"/>
      <c r="BU240" s="156"/>
      <c r="BV240" s="156"/>
      <c r="BW240" s="156"/>
      <c r="BX240" s="156"/>
      <c r="BY240" s="156"/>
      <c r="BZ240" s="156"/>
      <c r="CA240" s="21"/>
      <c r="CB240" s="21"/>
      <c r="CC240" s="21"/>
      <c r="CD240" s="21"/>
      <c r="CW240" s="104"/>
      <c r="CX240" s="104"/>
      <c r="CY240" s="104"/>
      <c r="DJ240" s="134"/>
      <c r="DK240" s="63"/>
      <c r="DL240" s="63"/>
      <c r="DM240" s="63"/>
      <c r="DN240" s="63"/>
      <c r="DO240" s="150"/>
      <c r="DP240" s="63"/>
      <c r="DQ240" s="63"/>
      <c r="DR240" s="63"/>
      <c r="DS240" s="63"/>
      <c r="DT240" s="63"/>
      <c r="DU240" s="63"/>
      <c r="DV240" s="63"/>
      <c r="DW240" s="63"/>
      <c r="DX240" s="63"/>
      <c r="DY240" s="63"/>
      <c r="DZ240" s="63"/>
      <c r="EA240" s="63"/>
      <c r="EB240" s="63"/>
      <c r="EC240" s="63"/>
      <c r="ED240" s="63"/>
      <c r="EE240" s="63"/>
      <c r="EF240" s="63"/>
      <c r="EG240" s="63"/>
      <c r="EH240" s="63"/>
      <c r="EI240" s="63"/>
      <c r="EJ240" s="63"/>
      <c r="EK240" s="63"/>
      <c r="EL240" s="63"/>
      <c r="EM240" s="63"/>
      <c r="EN240" s="63"/>
      <c r="EO240" s="63"/>
      <c r="EP240" s="63"/>
      <c r="EQ240" s="63"/>
      <c r="ER240" s="63"/>
      <c r="ES240" s="63"/>
      <c r="ET240" s="63"/>
      <c r="EU240" s="63"/>
      <c r="EV240" s="63"/>
      <c r="EW240" s="63"/>
      <c r="EX240" s="63"/>
      <c r="EY240" s="63"/>
      <c r="EZ240" s="33"/>
      <c r="FA240" s="33"/>
      <c r="FB240" s="33"/>
      <c r="FC240" s="33"/>
      <c r="FD240" s="33"/>
      <c r="FE240" s="33"/>
      <c r="FF240" s="33"/>
      <c r="FG240" s="33"/>
      <c r="FH240" s="33"/>
      <c r="FI240" s="33"/>
      <c r="FJ240" s="33"/>
      <c r="FK240" s="33"/>
      <c r="FL240" s="33"/>
      <c r="FM240" s="33"/>
      <c r="FN240" s="33"/>
      <c r="FO240" s="33"/>
      <c r="FP240" s="33"/>
      <c r="FQ240" s="33"/>
      <c r="FR240" s="33"/>
      <c r="FS240" s="33"/>
      <c r="FT240" s="33"/>
      <c r="FU240" s="33"/>
      <c r="FV240" s="33"/>
      <c r="FW240" s="33"/>
      <c r="FX240" s="33"/>
      <c r="FY240" s="33"/>
      <c r="FZ240" s="33"/>
      <c r="GA240" s="33"/>
    </row>
    <row r="241" ht="15.75" customHeight="1">
      <c r="A241" s="20" t="s">
        <v>502</v>
      </c>
      <c r="B241" s="20"/>
      <c r="C241" s="156"/>
      <c r="D241" s="156"/>
      <c r="E241" s="156"/>
      <c r="F241" s="156"/>
      <c r="G241" s="156"/>
      <c r="H241" s="156"/>
      <c r="I241" s="156"/>
      <c r="J241" s="156"/>
      <c r="K241" s="157"/>
      <c r="L241" s="157"/>
      <c r="M241" s="157"/>
      <c r="N241" s="157"/>
      <c r="O241" s="156"/>
      <c r="P241" s="158"/>
      <c r="Q241" s="24" t="str">
        <f t="shared" si="12"/>
        <v>very fine-grained, banded, grey marble</v>
      </c>
      <c r="R241" s="159" t="s">
        <v>188</v>
      </c>
      <c r="S241" s="159" t="s">
        <v>181</v>
      </c>
      <c r="T241" s="159" t="s">
        <v>182</v>
      </c>
      <c r="U241" s="159" t="s">
        <v>189</v>
      </c>
      <c r="V241" s="156"/>
      <c r="W241" s="159" t="s">
        <v>166</v>
      </c>
      <c r="X241" s="159">
        <v>0.3</v>
      </c>
      <c r="Y241" s="159" t="s">
        <v>196</v>
      </c>
      <c r="Z241" s="159" t="s">
        <v>219</v>
      </c>
      <c r="AE241" s="110"/>
      <c r="AM241" s="156"/>
      <c r="AN241" s="156"/>
      <c r="AO241" s="43"/>
      <c r="AP241" s="156"/>
      <c r="AQ241" s="156"/>
      <c r="AR241" s="156"/>
      <c r="AS241" s="156"/>
      <c r="AT241" s="156"/>
      <c r="AU241" s="156"/>
      <c r="AV241" s="156"/>
      <c r="AW241" s="156"/>
      <c r="AX241" s="156"/>
      <c r="AY241" s="156"/>
      <c r="AZ241" s="156"/>
      <c r="BA241" s="156"/>
      <c r="BB241" s="156"/>
      <c r="BC241" s="156"/>
      <c r="BD241" s="156"/>
      <c r="BE241" s="156"/>
      <c r="BF241" s="156"/>
      <c r="BG241" s="156"/>
      <c r="BH241" s="156"/>
      <c r="BI241" s="156"/>
      <c r="BJ241" s="156"/>
      <c r="BK241" s="156"/>
      <c r="BL241" s="156"/>
      <c r="BM241" s="156"/>
      <c r="BN241" s="156"/>
      <c r="BO241" s="156"/>
      <c r="BP241" s="156"/>
      <c r="BQ241" s="156"/>
      <c r="BR241" s="156"/>
      <c r="BS241" s="156"/>
      <c r="BT241" s="156"/>
      <c r="BU241" s="156"/>
      <c r="BV241" s="156"/>
      <c r="BW241" s="156"/>
      <c r="BX241" s="156"/>
      <c r="BY241" s="156"/>
      <c r="BZ241" s="156"/>
      <c r="CA241" s="21"/>
      <c r="CB241" s="21"/>
      <c r="CC241" s="21"/>
      <c r="CD241" s="21"/>
      <c r="CW241" s="104"/>
      <c r="CX241" s="104"/>
      <c r="CY241" s="104"/>
      <c r="DJ241" s="134"/>
      <c r="DK241" s="63"/>
      <c r="DL241" s="63"/>
      <c r="DM241" s="63"/>
      <c r="DN241" s="63"/>
      <c r="DO241" s="150"/>
      <c r="DP241" s="63"/>
      <c r="DQ241" s="63"/>
      <c r="DR241" s="63"/>
      <c r="DS241" s="63"/>
      <c r="DT241" s="63"/>
      <c r="DU241" s="63"/>
      <c r="DV241" s="63"/>
      <c r="DW241" s="63"/>
      <c r="DX241" s="63"/>
      <c r="DY241" s="63"/>
      <c r="DZ241" s="63"/>
      <c r="EA241" s="63"/>
      <c r="EB241" s="63"/>
      <c r="EC241" s="63"/>
      <c r="ED241" s="63"/>
      <c r="EE241" s="63"/>
      <c r="EF241" s="63"/>
      <c r="EG241" s="63"/>
      <c r="EH241" s="63"/>
      <c r="EI241" s="63"/>
      <c r="EJ241" s="63"/>
      <c r="EK241" s="63"/>
      <c r="EL241" s="63"/>
      <c r="EM241" s="63"/>
      <c r="EN241" s="63"/>
      <c r="EO241" s="63"/>
      <c r="EP241" s="63"/>
      <c r="EQ241" s="63"/>
      <c r="ER241" s="63"/>
      <c r="ES241" s="63"/>
      <c r="ET241" s="63"/>
      <c r="EU241" s="63"/>
      <c r="EV241" s="63"/>
      <c r="EW241" s="63"/>
      <c r="EX241" s="63"/>
      <c r="EY241" s="63"/>
      <c r="EZ241" s="33"/>
      <c r="FA241" s="33"/>
      <c r="FB241" s="33"/>
      <c r="FC241" s="33"/>
      <c r="FD241" s="33"/>
      <c r="FE241" s="33"/>
      <c r="FF241" s="33"/>
      <c r="FG241" s="33"/>
      <c r="FH241" s="33"/>
      <c r="FI241" s="33"/>
      <c r="FJ241" s="33"/>
      <c r="FK241" s="33"/>
      <c r="FL241" s="33"/>
      <c r="FM241" s="33"/>
      <c r="FN241" s="33"/>
      <c r="FO241" s="33"/>
      <c r="FP241" s="33"/>
      <c r="FQ241" s="33"/>
      <c r="FR241" s="33"/>
      <c r="FS241" s="33"/>
      <c r="FT241" s="33"/>
      <c r="FU241" s="33"/>
      <c r="FV241" s="33"/>
      <c r="FW241" s="33"/>
      <c r="FX241" s="33"/>
      <c r="FY241" s="33"/>
      <c r="FZ241" s="33"/>
      <c r="GA241" s="33"/>
    </row>
    <row r="242" ht="15.75" customHeight="1">
      <c r="A242" s="20" t="s">
        <v>503</v>
      </c>
      <c r="B242" s="20"/>
      <c r="C242" s="22"/>
      <c r="D242" s="22"/>
      <c r="E242" s="22"/>
      <c r="F242" s="22"/>
      <c r="G242" s="22"/>
      <c r="H242" s="22"/>
      <c r="I242" s="22"/>
      <c r="J242" s="22"/>
      <c r="K242" s="23"/>
      <c r="L242" s="23"/>
      <c r="M242" s="23"/>
      <c r="N242" s="23"/>
      <c r="O242" s="22"/>
      <c r="P242" s="24"/>
      <c r="Q242" s="24" t="str">
        <f t="shared" si="12"/>
        <v>medium-grained, banded, white marble</v>
      </c>
      <c r="R242" s="20" t="s">
        <v>205</v>
      </c>
      <c r="S242" s="20" t="s">
        <v>189</v>
      </c>
      <c r="T242" s="20" t="s">
        <v>182</v>
      </c>
      <c r="U242" s="20" t="s">
        <v>181</v>
      </c>
      <c r="V242" s="22"/>
      <c r="W242" s="20" t="s">
        <v>166</v>
      </c>
      <c r="X242" s="20">
        <v>2.1</v>
      </c>
      <c r="Y242" s="20" t="s">
        <v>191</v>
      </c>
      <c r="Z242" s="20" t="s">
        <v>213</v>
      </c>
      <c r="AE242" s="110"/>
      <c r="AM242" s="22"/>
      <c r="AN242" s="22"/>
      <c r="AO242" s="43">
        <f t="shared" ref="AO242:AO243" si="16">SUM(AP242,AQ242,AR242)</f>
        <v>0</v>
      </c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W242" s="104"/>
      <c r="CX242" s="160"/>
      <c r="CY242" s="160"/>
      <c r="DJ242" s="147"/>
      <c r="DK242" s="63"/>
      <c r="DL242" s="63"/>
      <c r="DM242" s="63"/>
      <c r="DN242" s="63"/>
      <c r="DO242" s="150"/>
      <c r="DP242" s="63"/>
      <c r="DQ242" s="63"/>
      <c r="DR242" s="63"/>
      <c r="DS242" s="63"/>
      <c r="DT242" s="63"/>
      <c r="DU242" s="63"/>
      <c r="DV242" s="63"/>
      <c r="DW242" s="63"/>
      <c r="DX242" s="63"/>
      <c r="DY242" s="63"/>
      <c r="DZ242" s="63"/>
      <c r="EA242" s="63"/>
      <c r="EB242" s="63"/>
      <c r="EC242" s="63"/>
      <c r="ED242" s="63"/>
      <c r="EE242" s="63"/>
      <c r="EF242" s="63"/>
      <c r="EG242" s="63"/>
      <c r="EH242" s="63"/>
      <c r="EI242" s="63"/>
      <c r="EJ242" s="63"/>
      <c r="EK242" s="63"/>
      <c r="EL242" s="63"/>
      <c r="EM242" s="63"/>
      <c r="EN242" s="63"/>
      <c r="EO242" s="63"/>
      <c r="EP242" s="63"/>
      <c r="EQ242" s="63"/>
      <c r="ER242" s="63"/>
      <c r="ES242" s="63"/>
      <c r="ET242" s="63"/>
      <c r="EU242" s="63"/>
      <c r="EV242" s="63"/>
      <c r="EW242" s="63"/>
      <c r="EX242" s="63"/>
      <c r="EY242" s="63"/>
      <c r="EZ242" s="33"/>
      <c r="FA242" s="33"/>
      <c r="FB242" s="33"/>
      <c r="FC242" s="33"/>
      <c r="FD242" s="33"/>
      <c r="FE242" s="33"/>
      <c r="FF242" s="33"/>
      <c r="FG242" s="33"/>
      <c r="FH242" s="33"/>
      <c r="FI242" s="33"/>
      <c r="FJ242" s="33"/>
      <c r="FK242" s="33"/>
      <c r="FL242" s="33"/>
      <c r="FM242" s="33"/>
      <c r="FN242" s="33"/>
      <c r="FO242" s="33"/>
      <c r="FP242" s="33"/>
      <c r="FQ242" s="33"/>
      <c r="FR242" s="33"/>
      <c r="FS242" s="33"/>
      <c r="FT242" s="33"/>
      <c r="FU242" s="33"/>
      <c r="FV242" s="33"/>
      <c r="FW242" s="33"/>
      <c r="FX242" s="33"/>
      <c r="FY242" s="33"/>
      <c r="FZ242" s="33"/>
      <c r="GA242" s="33"/>
    </row>
    <row r="243" ht="15.75" customHeight="1">
      <c r="A243" s="20" t="s">
        <v>504</v>
      </c>
      <c r="B243" s="20"/>
      <c r="C243" s="22"/>
      <c r="D243" s="22"/>
      <c r="E243" s="22"/>
      <c r="F243" s="22"/>
      <c r="G243" s="22"/>
      <c r="H243" s="22"/>
      <c r="I243" s="22"/>
      <c r="J243" s="22"/>
      <c r="K243" s="23"/>
      <c r="L243" s="23"/>
      <c r="M243" s="23"/>
      <c r="N243" s="23"/>
      <c r="O243" s="22"/>
      <c r="P243" s="24"/>
      <c r="Q243" s="24" t="str">
        <f t="shared" si="12"/>
        <v>very fine-grained, homogeneous, white marble</v>
      </c>
      <c r="R243" s="20" t="s">
        <v>188</v>
      </c>
      <c r="S243" s="20" t="s">
        <v>189</v>
      </c>
      <c r="T243" s="20" t="s">
        <v>194</v>
      </c>
      <c r="U243" s="20" t="s">
        <v>195</v>
      </c>
      <c r="V243" s="22"/>
      <c r="W243" s="20" t="s">
        <v>166</v>
      </c>
      <c r="X243" s="20">
        <v>0.7</v>
      </c>
      <c r="Y243" s="20" t="s">
        <v>209</v>
      </c>
      <c r="Z243" s="20" t="s">
        <v>184</v>
      </c>
      <c r="AE243" s="110"/>
      <c r="AM243" s="22"/>
      <c r="AN243" s="22"/>
      <c r="AO243" s="43">
        <f t="shared" si="16"/>
        <v>0</v>
      </c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W243" s="116"/>
      <c r="CX243" s="47"/>
      <c r="CY243" s="47"/>
      <c r="DJ243" s="134"/>
      <c r="DK243" s="63"/>
      <c r="DL243" s="63"/>
      <c r="DM243" s="63"/>
      <c r="DN243" s="63"/>
      <c r="DO243" s="63"/>
      <c r="DP243" s="63"/>
      <c r="DQ243" s="63"/>
      <c r="DR243" s="63"/>
      <c r="DS243" s="63"/>
      <c r="DT243" s="63"/>
      <c r="DU243" s="63"/>
      <c r="DV243" s="63"/>
      <c r="DW243" s="63"/>
      <c r="DX243" s="63"/>
      <c r="DY243" s="63"/>
      <c r="DZ243" s="63"/>
      <c r="EA243" s="63"/>
      <c r="EB243" s="63"/>
      <c r="EC243" s="63"/>
      <c r="ED243" s="63"/>
      <c r="EE243" s="63"/>
      <c r="EF243" s="63"/>
      <c r="EG243" s="63"/>
      <c r="EH243" s="63"/>
      <c r="EI243" s="63"/>
      <c r="EJ243" s="63"/>
      <c r="EK243" s="63"/>
      <c r="EL243" s="63"/>
      <c r="EM243" s="63"/>
      <c r="EN243" s="63"/>
      <c r="EO243" s="63"/>
      <c r="EP243" s="63"/>
      <c r="EQ243" s="63"/>
      <c r="ER243" s="63"/>
      <c r="ES243" s="63"/>
      <c r="ET243" s="63"/>
      <c r="EU243" s="63"/>
      <c r="EV243" s="63"/>
      <c r="EW243" s="63"/>
      <c r="EX243" s="63"/>
      <c r="EY243" s="63"/>
      <c r="EZ243" s="33"/>
      <c r="FA243" s="40"/>
      <c r="FB243" s="40"/>
      <c r="FC243" s="40"/>
      <c r="FD243" s="40"/>
      <c r="FE243" s="40"/>
      <c r="FF243" s="40"/>
      <c r="FG243" s="40"/>
      <c r="FH243" s="40"/>
      <c r="FI243" s="40"/>
      <c r="FJ243" s="40"/>
      <c r="FK243" s="40"/>
      <c r="FL243" s="40"/>
      <c r="FM243" s="40"/>
      <c r="FN243" s="40"/>
      <c r="FO243" s="40"/>
      <c r="FP243" s="40"/>
      <c r="FQ243" s="40"/>
      <c r="FR243" s="40"/>
      <c r="FS243" s="40"/>
      <c r="FT243" s="40"/>
      <c r="FU243" s="40"/>
      <c r="FV243" s="40"/>
      <c r="FW243" s="40"/>
      <c r="FX243" s="40"/>
      <c r="FY243" s="40"/>
      <c r="FZ243" s="40"/>
      <c r="GA243" s="40"/>
    </row>
    <row r="244" ht="15.75" customHeight="1">
      <c r="A244" s="20" t="s">
        <v>505</v>
      </c>
      <c r="B244" s="20"/>
      <c r="C244" s="22"/>
      <c r="D244" s="22"/>
      <c r="E244" s="22"/>
      <c r="F244" s="22"/>
      <c r="G244" s="22"/>
      <c r="H244" s="22"/>
      <c r="I244" s="22"/>
      <c r="J244" s="22"/>
      <c r="K244" s="23"/>
      <c r="L244" s="23"/>
      <c r="M244" s="23"/>
      <c r="N244" s="23"/>
      <c r="O244" s="22"/>
      <c r="P244" s="24"/>
      <c r="Q244" s="24" t="str">
        <f t="shared" si="12"/>
        <v>medium-grained, homogeneous, white marble</v>
      </c>
      <c r="R244" s="20" t="s">
        <v>205</v>
      </c>
      <c r="S244" s="20" t="s">
        <v>189</v>
      </c>
      <c r="T244" s="20" t="s">
        <v>194</v>
      </c>
      <c r="U244" s="20" t="s">
        <v>195</v>
      </c>
      <c r="V244" s="22"/>
      <c r="W244" s="20" t="s">
        <v>166</v>
      </c>
      <c r="X244" s="20">
        <v>2.0</v>
      </c>
      <c r="Y244" s="20" t="s">
        <v>209</v>
      </c>
      <c r="Z244" s="20" t="s">
        <v>184</v>
      </c>
      <c r="AA244" s="33"/>
      <c r="AB244" s="33"/>
      <c r="AC244" s="33"/>
      <c r="AD244" s="33"/>
      <c r="AE244" s="88"/>
      <c r="AF244" s="33"/>
      <c r="AG244" s="33"/>
      <c r="AH244" s="33"/>
      <c r="AI244" s="33"/>
      <c r="AJ244" s="33"/>
      <c r="AK244" s="33"/>
      <c r="AL244" s="33"/>
      <c r="AM244" s="22"/>
      <c r="AN244" s="22"/>
      <c r="AO244" s="43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141"/>
      <c r="CX244" s="54"/>
      <c r="CY244" s="54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FA244" s="33"/>
      <c r="FB244" s="33"/>
      <c r="FC244" s="33"/>
      <c r="FD244" s="33"/>
      <c r="FE244" s="33"/>
      <c r="FF244" s="33"/>
      <c r="FG244" s="33"/>
      <c r="FH244" s="33"/>
      <c r="FI244" s="33"/>
      <c r="FJ244" s="33"/>
      <c r="FK244" s="33"/>
      <c r="FL244" s="33"/>
      <c r="FM244" s="33"/>
      <c r="FN244" s="33"/>
      <c r="FO244" s="33"/>
      <c r="FP244" s="33"/>
      <c r="FQ244" s="33"/>
      <c r="FR244" s="33"/>
      <c r="FS244" s="33"/>
      <c r="FT244" s="33"/>
      <c r="FU244" s="33"/>
      <c r="FV244" s="33"/>
      <c r="FW244" s="33"/>
      <c r="FX244" s="33"/>
      <c r="FY244" s="33"/>
      <c r="FZ244" s="33"/>
      <c r="GA244" s="33"/>
    </row>
    <row r="245" ht="15.75" customHeight="1">
      <c r="A245" s="20" t="s">
        <v>506</v>
      </c>
      <c r="B245" s="20"/>
      <c r="C245" s="22"/>
      <c r="D245" s="22"/>
      <c r="E245" s="22"/>
      <c r="F245" s="22"/>
      <c r="G245" s="22"/>
      <c r="H245" s="22"/>
      <c r="I245" s="22"/>
      <c r="J245" s="22"/>
      <c r="K245" s="23"/>
      <c r="L245" s="23"/>
      <c r="M245" s="23"/>
      <c r="N245" s="23"/>
      <c r="O245" s="22"/>
      <c r="P245" s="24"/>
      <c r="Q245" s="24" t="str">
        <f t="shared" si="12"/>
        <v>very fine-grained, veined, white marble</v>
      </c>
      <c r="R245" s="20" t="s">
        <v>188</v>
      </c>
      <c r="S245" s="20" t="s">
        <v>189</v>
      </c>
      <c r="T245" s="20" t="s">
        <v>206</v>
      </c>
      <c r="U245" s="20" t="s">
        <v>181</v>
      </c>
      <c r="V245" s="22"/>
      <c r="W245" s="20" t="s">
        <v>166</v>
      </c>
      <c r="X245" s="20">
        <v>0.7</v>
      </c>
      <c r="Y245" s="20" t="s">
        <v>196</v>
      </c>
      <c r="Z245" s="20" t="s">
        <v>198</v>
      </c>
      <c r="AA245" s="33"/>
      <c r="AB245" s="33"/>
      <c r="AC245" s="33"/>
      <c r="AD245" s="33"/>
      <c r="AE245" s="88"/>
      <c r="AF245" s="33"/>
      <c r="AG245" s="33"/>
      <c r="AH245" s="33"/>
      <c r="AI245" s="33"/>
      <c r="AJ245" s="33"/>
      <c r="AK245" s="33"/>
      <c r="AL245" s="33"/>
      <c r="AM245" s="22"/>
      <c r="AN245" s="22"/>
      <c r="AO245" s="43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141"/>
      <c r="CX245" s="54"/>
      <c r="CY245" s="54"/>
      <c r="CZ245" s="33"/>
      <c r="DA245" s="33"/>
      <c r="DB245" s="33"/>
      <c r="DC245" s="33"/>
      <c r="DD245" s="33"/>
      <c r="DE245" s="33"/>
      <c r="DF245" s="33"/>
      <c r="DG245" s="33"/>
      <c r="DH245" s="33"/>
      <c r="DI245" s="33"/>
      <c r="FA245" s="33"/>
      <c r="FB245" s="33"/>
      <c r="FC245" s="33"/>
      <c r="FD245" s="33"/>
      <c r="FE245" s="33"/>
      <c r="FF245" s="33"/>
      <c r="FG245" s="33"/>
      <c r="FH245" s="33"/>
      <c r="FI245" s="33"/>
      <c r="FJ245" s="33"/>
      <c r="FK245" s="33"/>
      <c r="FL245" s="33"/>
      <c r="FM245" s="33"/>
      <c r="FN245" s="33"/>
      <c r="FO245" s="33"/>
      <c r="FP245" s="33"/>
      <c r="FQ245" s="33"/>
      <c r="FR245" s="33"/>
      <c r="FS245" s="33"/>
      <c r="FT245" s="33"/>
      <c r="FU245" s="33"/>
      <c r="FV245" s="33"/>
      <c r="FW245" s="33"/>
      <c r="FX245" s="33"/>
      <c r="FY245" s="33"/>
      <c r="FZ245" s="33"/>
      <c r="GA245" s="33"/>
    </row>
    <row r="246" ht="15.75" customHeight="1">
      <c r="A246" s="20" t="s">
        <v>507</v>
      </c>
      <c r="B246" s="20"/>
      <c r="C246" s="22"/>
      <c r="D246" s="22"/>
      <c r="E246" s="22"/>
      <c r="F246" s="22"/>
      <c r="G246" s="22"/>
      <c r="H246" s="22"/>
      <c r="I246" s="22"/>
      <c r="J246" s="22"/>
      <c r="K246" s="23"/>
      <c r="L246" s="23"/>
      <c r="M246" s="23"/>
      <c r="N246" s="23"/>
      <c r="O246" s="22"/>
      <c r="P246" s="24"/>
      <c r="Q246" s="24" t="str">
        <f t="shared" si="12"/>
        <v>fine-grained, veined, grey marble</v>
      </c>
      <c r="R246" s="20" t="s">
        <v>180</v>
      </c>
      <c r="S246" s="20" t="s">
        <v>181</v>
      </c>
      <c r="T246" s="20" t="s">
        <v>206</v>
      </c>
      <c r="U246" s="20" t="s">
        <v>181</v>
      </c>
      <c r="V246" s="22"/>
      <c r="W246" s="20" t="s">
        <v>166</v>
      </c>
      <c r="X246" s="20">
        <v>1.6</v>
      </c>
      <c r="Y246" s="20" t="s">
        <v>191</v>
      </c>
      <c r="Z246" s="20" t="s">
        <v>198</v>
      </c>
      <c r="AA246" s="33"/>
      <c r="AB246" s="33"/>
      <c r="AC246" s="33"/>
      <c r="AD246" s="33"/>
      <c r="AE246" s="88"/>
      <c r="AF246" s="33"/>
      <c r="AG246" s="33"/>
      <c r="AH246" s="33"/>
      <c r="AI246" s="33"/>
      <c r="AJ246" s="33"/>
      <c r="AK246" s="33"/>
      <c r="AL246" s="33"/>
      <c r="AM246" s="22"/>
      <c r="AN246" s="22"/>
      <c r="AO246" s="43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141"/>
      <c r="CX246" s="54"/>
      <c r="CY246" s="54"/>
      <c r="CZ246" s="33"/>
      <c r="DA246" s="33"/>
      <c r="DB246" s="33"/>
      <c r="DC246" s="33"/>
      <c r="DD246" s="33"/>
      <c r="DE246" s="33"/>
      <c r="DF246" s="33"/>
      <c r="DG246" s="33"/>
      <c r="DH246" s="33"/>
      <c r="DI246" s="33"/>
      <c r="FA246" s="33"/>
      <c r="FB246" s="33"/>
      <c r="FC246" s="33"/>
      <c r="FD246" s="33"/>
      <c r="FE246" s="33"/>
      <c r="FF246" s="33"/>
      <c r="FG246" s="33"/>
      <c r="FH246" s="33"/>
      <c r="FI246" s="33"/>
      <c r="FJ246" s="33"/>
      <c r="FK246" s="33"/>
      <c r="FL246" s="33"/>
      <c r="FM246" s="33"/>
      <c r="FN246" s="33"/>
      <c r="FO246" s="33"/>
      <c r="FP246" s="33"/>
      <c r="FQ246" s="33"/>
      <c r="FR246" s="33"/>
      <c r="FS246" s="33"/>
      <c r="FT246" s="33"/>
      <c r="FU246" s="33"/>
      <c r="FV246" s="33"/>
      <c r="FW246" s="33"/>
      <c r="FX246" s="33"/>
      <c r="FY246" s="33"/>
      <c r="FZ246" s="33"/>
      <c r="GA246" s="33"/>
    </row>
    <row r="247" ht="15.75" customHeight="1">
      <c r="A247" s="20" t="s">
        <v>508</v>
      </c>
      <c r="B247" s="20"/>
      <c r="C247" s="22"/>
      <c r="D247" s="22"/>
      <c r="E247" s="22"/>
      <c r="F247" s="22"/>
      <c r="G247" s="22"/>
      <c r="H247" s="22"/>
      <c r="I247" s="22"/>
      <c r="J247" s="22"/>
      <c r="K247" s="23"/>
      <c r="L247" s="23"/>
      <c r="M247" s="23"/>
      <c r="N247" s="23"/>
      <c r="O247" s="22"/>
      <c r="P247" s="24"/>
      <c r="Q247" s="24" t="str">
        <f t="shared" si="12"/>
        <v>very fine-grained, veined, white marble</v>
      </c>
      <c r="R247" s="20" t="s">
        <v>188</v>
      </c>
      <c r="S247" s="20" t="s">
        <v>189</v>
      </c>
      <c r="T247" s="20" t="s">
        <v>206</v>
      </c>
      <c r="U247" s="20" t="s">
        <v>181</v>
      </c>
      <c r="V247" s="22"/>
      <c r="W247" s="20" t="s">
        <v>166</v>
      </c>
      <c r="X247" s="20">
        <v>0.6</v>
      </c>
      <c r="Y247" s="20" t="s">
        <v>196</v>
      </c>
      <c r="Z247" s="20" t="s">
        <v>207</v>
      </c>
      <c r="AA247" s="33"/>
      <c r="AB247" s="33"/>
      <c r="AC247" s="33"/>
      <c r="AD247" s="33"/>
      <c r="AE247" s="88"/>
      <c r="AF247" s="33"/>
      <c r="AG247" s="33"/>
      <c r="AH247" s="33"/>
      <c r="AI247" s="33"/>
      <c r="AJ247" s="33"/>
      <c r="AK247" s="33"/>
      <c r="AL247" s="33"/>
      <c r="AM247" s="22"/>
      <c r="AN247" s="22"/>
      <c r="AO247" s="43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  <c r="CW247" s="141"/>
      <c r="CX247" s="54"/>
      <c r="CY247" s="54"/>
      <c r="CZ247" s="33"/>
      <c r="DA247" s="33"/>
      <c r="DB247" s="33"/>
      <c r="DC247" s="33"/>
      <c r="DD247" s="33"/>
      <c r="DE247" s="33"/>
      <c r="DF247" s="33"/>
      <c r="DG247" s="33"/>
      <c r="DH247" s="33"/>
      <c r="DI247" s="33"/>
      <c r="FA247" s="33"/>
      <c r="FB247" s="33"/>
      <c r="FC247" s="33"/>
      <c r="FD247" s="33"/>
      <c r="FE247" s="33"/>
      <c r="FF247" s="33"/>
      <c r="FG247" s="33"/>
      <c r="FH247" s="33"/>
      <c r="FI247" s="33"/>
      <c r="FJ247" s="33"/>
      <c r="FK247" s="33"/>
      <c r="FL247" s="33"/>
      <c r="FM247" s="33"/>
      <c r="FN247" s="33"/>
      <c r="FO247" s="33"/>
      <c r="FP247" s="33"/>
      <c r="FQ247" s="33"/>
      <c r="FR247" s="33"/>
      <c r="FS247" s="33"/>
      <c r="FT247" s="33"/>
      <c r="FU247" s="33"/>
      <c r="FV247" s="33"/>
      <c r="FW247" s="33"/>
      <c r="FX247" s="33"/>
      <c r="FY247" s="33"/>
      <c r="FZ247" s="33"/>
      <c r="GA247" s="33"/>
    </row>
    <row r="248" ht="15.75" customHeight="1">
      <c r="A248" s="20" t="s">
        <v>509</v>
      </c>
      <c r="B248" s="20"/>
      <c r="C248" s="22"/>
      <c r="D248" s="22"/>
      <c r="E248" s="22"/>
      <c r="F248" s="22"/>
      <c r="G248" s="22"/>
      <c r="H248" s="22"/>
      <c r="I248" s="22"/>
      <c r="J248" s="22"/>
      <c r="K248" s="23"/>
      <c r="L248" s="23"/>
      <c r="M248" s="23"/>
      <c r="N248" s="23"/>
      <c r="O248" s="22"/>
      <c r="P248" s="24"/>
      <c r="Q248" s="24" t="str">
        <f t="shared" si="12"/>
        <v>fine-grained, homogeneous, white marble</v>
      </c>
      <c r="R248" s="20" t="s">
        <v>180</v>
      </c>
      <c r="S248" s="20" t="s">
        <v>189</v>
      </c>
      <c r="T248" s="20" t="s">
        <v>194</v>
      </c>
      <c r="U248" s="20" t="s">
        <v>195</v>
      </c>
      <c r="V248" s="22"/>
      <c r="W248" s="20" t="s">
        <v>166</v>
      </c>
      <c r="X248" s="20">
        <v>0.9</v>
      </c>
      <c r="Y248" s="20" t="s">
        <v>196</v>
      </c>
      <c r="Z248" s="20" t="s">
        <v>198</v>
      </c>
      <c r="AA248" s="33"/>
      <c r="AB248" s="33"/>
      <c r="AC248" s="33"/>
      <c r="AD248" s="33"/>
      <c r="AE248" s="88"/>
      <c r="AF248" s="33"/>
      <c r="AG248" s="33"/>
      <c r="AH248" s="33"/>
      <c r="AI248" s="33"/>
      <c r="AJ248" s="33"/>
      <c r="AK248" s="33"/>
      <c r="AL248" s="33"/>
      <c r="AM248" s="22"/>
      <c r="AN248" s="22"/>
      <c r="AO248" s="43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33"/>
      <c r="CF248" s="33"/>
      <c r="CG248" s="33"/>
      <c r="CH248" s="33"/>
      <c r="CI248" s="33"/>
      <c r="CJ248" s="33"/>
      <c r="CK248" s="33"/>
      <c r="CL248" s="33"/>
      <c r="CM248" s="33"/>
      <c r="CN248" s="33"/>
      <c r="CO248" s="33"/>
      <c r="CP248" s="33"/>
      <c r="CQ248" s="33"/>
      <c r="CR248" s="33"/>
      <c r="CS248" s="33"/>
      <c r="CT248" s="33"/>
      <c r="CU248" s="33"/>
      <c r="CV248" s="33"/>
      <c r="CW248" s="141"/>
      <c r="CX248" s="142"/>
      <c r="CY248" s="142"/>
      <c r="CZ248" s="33"/>
      <c r="DA248" s="33"/>
      <c r="DB248" s="33"/>
      <c r="DC248" s="33"/>
      <c r="DD248" s="33"/>
      <c r="DE248" s="33"/>
      <c r="DF248" s="33"/>
      <c r="DG248" s="33"/>
      <c r="DH248" s="33"/>
      <c r="DI248" s="33"/>
      <c r="FA248" s="33"/>
      <c r="FB248" s="33"/>
      <c r="FC248" s="33"/>
      <c r="FD248" s="33"/>
      <c r="FE248" s="33"/>
      <c r="FF248" s="33"/>
      <c r="FG248" s="33"/>
      <c r="FH248" s="33"/>
      <c r="FI248" s="33"/>
      <c r="FJ248" s="33"/>
      <c r="FK248" s="33"/>
      <c r="FL248" s="33"/>
      <c r="FM248" s="33"/>
      <c r="FN248" s="33"/>
      <c r="FO248" s="33"/>
      <c r="FP248" s="33"/>
      <c r="FQ248" s="33"/>
      <c r="FR248" s="33"/>
      <c r="FS248" s="33"/>
      <c r="FT248" s="33"/>
      <c r="FU248" s="33"/>
      <c r="FV248" s="33"/>
      <c r="FW248" s="33"/>
      <c r="FX248" s="33"/>
      <c r="FY248" s="33"/>
      <c r="FZ248" s="33"/>
      <c r="GA248" s="33"/>
    </row>
    <row r="249" ht="15.75" customHeight="1">
      <c r="A249" s="20" t="s">
        <v>510</v>
      </c>
      <c r="B249" s="20"/>
      <c r="C249" s="22"/>
      <c r="D249" s="22"/>
      <c r="E249" s="22"/>
      <c r="F249" s="22"/>
      <c r="G249" s="22"/>
      <c r="H249" s="22"/>
      <c r="I249" s="22"/>
      <c r="J249" s="22"/>
      <c r="K249" s="23"/>
      <c r="L249" s="23"/>
      <c r="M249" s="23"/>
      <c r="N249" s="23"/>
      <c r="O249" s="22" t="s">
        <v>164</v>
      </c>
      <c r="P249" s="24"/>
      <c r="Q249" s="24" t="str">
        <f t="shared" si="12"/>
        <v>fine-grained, homogeneous, grey marble</v>
      </c>
      <c r="R249" s="20" t="s">
        <v>180</v>
      </c>
      <c r="S249" s="20" t="s">
        <v>181</v>
      </c>
      <c r="T249" s="20" t="s">
        <v>194</v>
      </c>
      <c r="U249" s="20" t="s">
        <v>195</v>
      </c>
      <c r="V249" s="22" t="s">
        <v>164</v>
      </c>
      <c r="W249" s="20" t="s">
        <v>166</v>
      </c>
      <c r="X249" s="20">
        <v>1.5</v>
      </c>
      <c r="Y249" s="20" t="s">
        <v>191</v>
      </c>
      <c r="Z249" s="20" t="s">
        <v>213</v>
      </c>
      <c r="AA249" s="33"/>
      <c r="AB249" s="50" t="s">
        <v>166</v>
      </c>
      <c r="AC249" s="50">
        <v>2.2</v>
      </c>
      <c r="AD249" s="50" t="s">
        <v>183</v>
      </c>
      <c r="AE249" s="36" t="s">
        <v>384</v>
      </c>
      <c r="AF249" s="33" t="s">
        <v>164</v>
      </c>
      <c r="AG249" s="33" t="s">
        <v>164</v>
      </c>
      <c r="AH249" s="33" t="s">
        <v>164</v>
      </c>
      <c r="AI249" s="33" t="s">
        <v>164</v>
      </c>
      <c r="AJ249" s="33" t="s">
        <v>164</v>
      </c>
      <c r="AK249" s="33" t="s">
        <v>164</v>
      </c>
      <c r="AL249" s="50" t="s">
        <v>166</v>
      </c>
      <c r="AM249" s="22"/>
      <c r="AN249" s="22"/>
      <c r="AO249" s="43">
        <f>SUM(AP249,AQ249,AR249)</f>
        <v>0</v>
      </c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 t="s">
        <v>164</v>
      </c>
      <c r="BF249" s="22" t="s">
        <v>164</v>
      </c>
      <c r="BG249" s="22" t="s">
        <v>164</v>
      </c>
      <c r="BH249" s="22" t="s">
        <v>164</v>
      </c>
      <c r="BI249" s="22"/>
      <c r="BJ249" s="22" t="s">
        <v>164</v>
      </c>
      <c r="BK249" s="22"/>
      <c r="BL249" s="22" t="s">
        <v>164</v>
      </c>
      <c r="BM249" s="22"/>
      <c r="BN249" s="22" t="s">
        <v>164</v>
      </c>
      <c r="BO249" s="22"/>
      <c r="BP249" s="22"/>
      <c r="BQ249" s="22"/>
      <c r="BR249" s="22" t="s">
        <v>164</v>
      </c>
      <c r="BS249" s="22"/>
      <c r="BT249" s="22" t="s">
        <v>164</v>
      </c>
      <c r="BU249" s="22"/>
      <c r="BV249" s="22"/>
      <c r="BW249" s="22"/>
      <c r="BX249" s="22" t="s">
        <v>164</v>
      </c>
      <c r="BY249" s="22"/>
      <c r="BZ249" s="22" t="s">
        <v>164</v>
      </c>
      <c r="CA249" s="22"/>
      <c r="CB249" s="22" t="s">
        <v>164</v>
      </c>
      <c r="CC249" s="22"/>
      <c r="CD249" s="22" t="s">
        <v>164</v>
      </c>
      <c r="CE249" s="33" t="s">
        <v>164</v>
      </c>
      <c r="CF249" s="33" t="s">
        <v>164</v>
      </c>
      <c r="CG249" s="33" t="s">
        <v>164</v>
      </c>
      <c r="CH249" s="33" t="s">
        <v>164</v>
      </c>
      <c r="CI249" s="33" t="s">
        <v>164</v>
      </c>
      <c r="CJ249" s="33" t="s">
        <v>164</v>
      </c>
      <c r="CK249" s="33" t="s">
        <v>164</v>
      </c>
      <c r="CL249" s="33" t="s">
        <v>164</v>
      </c>
      <c r="CM249" s="33" t="s">
        <v>164</v>
      </c>
      <c r="CN249" s="33" t="s">
        <v>164</v>
      </c>
      <c r="CO249" s="33" t="s">
        <v>164</v>
      </c>
      <c r="CP249" s="33" t="s">
        <v>164</v>
      </c>
      <c r="CQ249" s="33" t="s">
        <v>164</v>
      </c>
      <c r="CR249" s="33" t="s">
        <v>164</v>
      </c>
      <c r="CS249" s="33" t="s">
        <v>164</v>
      </c>
      <c r="CT249" s="33" t="s">
        <v>164</v>
      </c>
      <c r="CU249" s="33" t="s">
        <v>164</v>
      </c>
      <c r="CV249" s="33" t="s">
        <v>164</v>
      </c>
      <c r="CW249" s="140" t="s">
        <v>166</v>
      </c>
      <c r="CX249" s="38">
        <v>3.15</v>
      </c>
      <c r="CY249" s="38">
        <v>-1.97</v>
      </c>
      <c r="CZ249" s="33"/>
      <c r="DA249" s="33" t="s">
        <v>164</v>
      </c>
      <c r="DB249" s="33" t="s">
        <v>164</v>
      </c>
      <c r="DC249" s="33" t="s">
        <v>164</v>
      </c>
      <c r="DD249" s="33" t="s">
        <v>164</v>
      </c>
      <c r="DE249" s="33" t="s">
        <v>164</v>
      </c>
      <c r="DF249" s="33" t="s">
        <v>164</v>
      </c>
      <c r="DG249" s="33" t="s">
        <v>164</v>
      </c>
      <c r="DH249" s="33" t="s">
        <v>164</v>
      </c>
      <c r="DI249" s="33" t="s">
        <v>164</v>
      </c>
      <c r="FA249" s="33"/>
      <c r="FB249" s="33"/>
      <c r="FC249" s="33"/>
      <c r="FD249" s="33"/>
      <c r="FE249" s="33"/>
      <c r="FF249" s="33"/>
      <c r="FG249" s="33"/>
      <c r="FH249" s="33"/>
      <c r="FI249" s="33"/>
      <c r="FJ249" s="33"/>
      <c r="FK249" s="33"/>
      <c r="FL249" s="33"/>
      <c r="FM249" s="33"/>
      <c r="FN249" s="33"/>
      <c r="FO249" s="33"/>
      <c r="FP249" s="33"/>
      <c r="FQ249" s="33"/>
      <c r="FR249" s="33"/>
      <c r="FS249" s="33"/>
      <c r="FT249" s="33"/>
      <c r="FU249" s="33"/>
      <c r="FV249" s="33"/>
      <c r="FW249" s="33"/>
      <c r="FX249" s="33"/>
      <c r="FY249" s="33"/>
      <c r="FZ249" s="33"/>
      <c r="GA249" s="33"/>
    </row>
    <row r="250" ht="15.75" customHeight="1">
      <c r="A250" s="20" t="s">
        <v>511</v>
      </c>
      <c r="B250" s="20"/>
      <c r="C250" s="22"/>
      <c r="D250" s="22"/>
      <c r="E250" s="22"/>
      <c r="F250" s="22"/>
      <c r="G250" s="22"/>
      <c r="H250" s="22"/>
      <c r="I250" s="22"/>
      <c r="J250" s="22"/>
      <c r="K250" s="23"/>
      <c r="L250" s="23"/>
      <c r="M250" s="23"/>
      <c r="N250" s="23"/>
      <c r="O250" s="22"/>
      <c r="P250" s="24"/>
      <c r="Q250" s="24" t="str">
        <f t="shared" si="12"/>
        <v>very fine-grained, spotted and veined, white marble</v>
      </c>
      <c r="R250" s="20" t="s">
        <v>188</v>
      </c>
      <c r="S250" s="20" t="s">
        <v>189</v>
      </c>
      <c r="T250" s="20" t="s">
        <v>340</v>
      </c>
      <c r="U250" s="20" t="s">
        <v>233</v>
      </c>
      <c r="V250" s="22"/>
      <c r="W250" s="20" t="s">
        <v>166</v>
      </c>
      <c r="X250" s="20">
        <v>1.6</v>
      </c>
      <c r="Y250" s="20" t="s">
        <v>183</v>
      </c>
      <c r="Z250" s="20" t="s">
        <v>184</v>
      </c>
      <c r="AA250" s="33"/>
      <c r="AB250" s="33"/>
      <c r="AC250" s="33"/>
      <c r="AD250" s="33"/>
      <c r="AE250" s="88"/>
      <c r="AF250" s="33"/>
      <c r="AG250" s="33"/>
      <c r="AH250" s="33"/>
      <c r="AI250" s="33"/>
      <c r="AJ250" s="33"/>
      <c r="AK250" s="33"/>
      <c r="AL250" s="33"/>
      <c r="AM250" s="22"/>
      <c r="AN250" s="22"/>
      <c r="AO250" s="43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33"/>
      <c r="CF250" s="33"/>
      <c r="CG250" s="33"/>
      <c r="CH250" s="33"/>
      <c r="CI250" s="33"/>
      <c r="CJ250" s="33"/>
      <c r="CK250" s="33"/>
      <c r="CL250" s="33"/>
      <c r="CM250" s="33"/>
      <c r="CN250" s="33"/>
      <c r="CO250" s="33"/>
      <c r="CP250" s="33"/>
      <c r="CQ250" s="33"/>
      <c r="CR250" s="33"/>
      <c r="CS250" s="33"/>
      <c r="CT250" s="33"/>
      <c r="CU250" s="33"/>
      <c r="CV250" s="33"/>
      <c r="CW250" s="141"/>
      <c r="CX250" s="54"/>
      <c r="CY250" s="54"/>
      <c r="CZ250" s="33"/>
      <c r="DA250" s="33"/>
      <c r="DB250" s="33"/>
      <c r="DC250" s="33"/>
      <c r="DD250" s="33"/>
      <c r="DE250" s="33"/>
      <c r="DF250" s="33"/>
      <c r="DG250" s="33"/>
      <c r="DH250" s="33"/>
      <c r="DI250" s="33"/>
      <c r="DJ250" s="50"/>
      <c r="DK250" s="63"/>
      <c r="DL250" s="63"/>
      <c r="DM250" s="63"/>
      <c r="DN250" s="63"/>
      <c r="DO250" s="63"/>
      <c r="DP250" s="63"/>
      <c r="DQ250" s="63"/>
      <c r="DR250" s="63"/>
      <c r="DS250" s="63"/>
      <c r="DT250" s="63"/>
      <c r="DU250" s="63"/>
      <c r="DV250" s="63"/>
      <c r="DW250" s="63"/>
      <c r="DX250" s="63"/>
      <c r="DY250" s="63"/>
      <c r="DZ250" s="63"/>
      <c r="EA250" s="63"/>
      <c r="EB250" s="63"/>
      <c r="EC250" s="63"/>
      <c r="ED250" s="63"/>
      <c r="EE250" s="63"/>
      <c r="EF250" s="63"/>
      <c r="EG250" s="63"/>
      <c r="EH250" s="63"/>
      <c r="EI250" s="63"/>
      <c r="EJ250" s="63"/>
      <c r="EK250" s="63"/>
      <c r="EL250" s="63"/>
      <c r="EM250" s="63"/>
      <c r="EN250" s="63"/>
      <c r="EO250" s="63"/>
      <c r="EP250" s="63"/>
      <c r="EQ250" s="63"/>
      <c r="ER250" s="63"/>
      <c r="ES250" s="63"/>
      <c r="ET250" s="63"/>
      <c r="EU250" s="63"/>
      <c r="EV250" s="63"/>
      <c r="EW250" s="63"/>
      <c r="EX250" s="63"/>
      <c r="EY250" s="63"/>
      <c r="EZ250" s="34"/>
      <c r="FA250" s="33"/>
      <c r="FB250" s="33"/>
      <c r="FC250" s="33"/>
      <c r="FD250" s="33"/>
      <c r="FE250" s="33"/>
      <c r="FF250" s="33"/>
      <c r="FG250" s="33"/>
      <c r="FH250" s="33"/>
      <c r="FI250" s="33"/>
      <c r="FJ250" s="33"/>
      <c r="FK250" s="33"/>
      <c r="FL250" s="33"/>
      <c r="FM250" s="33"/>
      <c r="FN250" s="33"/>
      <c r="FO250" s="33"/>
      <c r="FP250" s="33"/>
      <c r="FQ250" s="33"/>
      <c r="FR250" s="33"/>
      <c r="FS250" s="33"/>
      <c r="FT250" s="33"/>
      <c r="FU250" s="33"/>
      <c r="FV250" s="33"/>
      <c r="FW250" s="33"/>
      <c r="FX250" s="33"/>
      <c r="FY250" s="33"/>
      <c r="FZ250" s="33"/>
      <c r="GA250" s="33"/>
    </row>
    <row r="251" ht="15.75" customHeight="1">
      <c r="A251" s="20" t="s">
        <v>512</v>
      </c>
      <c r="B251" s="20"/>
      <c r="C251" s="22"/>
      <c r="D251" s="22"/>
      <c r="E251" s="22"/>
      <c r="F251" s="22"/>
      <c r="G251" s="22"/>
      <c r="H251" s="22"/>
      <c r="I251" s="22"/>
      <c r="J251" s="22"/>
      <c r="K251" s="23"/>
      <c r="L251" s="23"/>
      <c r="M251" s="23"/>
      <c r="N251" s="23"/>
      <c r="O251" s="22"/>
      <c r="P251" s="24"/>
      <c r="Q251" s="24" t="str">
        <f t="shared" si="12"/>
        <v>medium-grained, banded, white marble</v>
      </c>
      <c r="R251" s="20" t="s">
        <v>205</v>
      </c>
      <c r="S251" s="20" t="s">
        <v>189</v>
      </c>
      <c r="T251" s="20" t="s">
        <v>182</v>
      </c>
      <c r="U251" s="20" t="s">
        <v>181</v>
      </c>
      <c r="V251" s="22"/>
      <c r="W251" s="20" t="s">
        <v>166</v>
      </c>
      <c r="X251" s="20">
        <v>1.5</v>
      </c>
      <c r="Y251" s="20" t="s">
        <v>191</v>
      </c>
      <c r="Z251" s="20" t="s">
        <v>198</v>
      </c>
      <c r="AA251" s="33"/>
      <c r="AB251" s="33"/>
      <c r="AC251" s="33"/>
      <c r="AD251" s="33"/>
      <c r="AE251" s="88"/>
      <c r="AF251" s="33"/>
      <c r="AG251" s="33"/>
      <c r="AH251" s="33"/>
      <c r="AI251" s="33"/>
      <c r="AJ251" s="33"/>
      <c r="AK251" s="33"/>
      <c r="AL251" s="33"/>
      <c r="AM251" s="22"/>
      <c r="AN251" s="22"/>
      <c r="AO251" s="43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33"/>
      <c r="CF251" s="33"/>
      <c r="CG251" s="33"/>
      <c r="CH251" s="33"/>
      <c r="CI251" s="33"/>
      <c r="CJ251" s="33"/>
      <c r="CK251" s="33"/>
      <c r="CL251" s="33"/>
      <c r="CM251" s="33"/>
      <c r="CN251" s="33"/>
      <c r="CO251" s="33"/>
      <c r="CP251" s="33"/>
      <c r="CQ251" s="33"/>
      <c r="CR251" s="33"/>
      <c r="CS251" s="33"/>
      <c r="CT251" s="33"/>
      <c r="CU251" s="33"/>
      <c r="CV251" s="33"/>
      <c r="CW251" s="141"/>
      <c r="CX251" s="59"/>
      <c r="CY251" s="59"/>
      <c r="CZ251" s="33"/>
      <c r="DA251" s="33"/>
      <c r="DB251" s="33"/>
      <c r="DC251" s="33"/>
      <c r="DD251" s="33"/>
      <c r="DE251" s="33"/>
      <c r="DF251" s="33"/>
      <c r="DG251" s="33"/>
      <c r="DH251" s="33"/>
      <c r="DI251" s="33"/>
      <c r="DJ251" s="50"/>
      <c r="DK251" s="63"/>
      <c r="DL251" s="63"/>
      <c r="DM251" s="63"/>
      <c r="DN251" s="63"/>
      <c r="DO251" s="63"/>
      <c r="DP251" s="63"/>
      <c r="DQ251" s="63"/>
      <c r="DR251" s="63"/>
      <c r="DS251" s="63"/>
      <c r="DT251" s="63"/>
      <c r="DU251" s="63"/>
      <c r="DV251" s="63"/>
      <c r="DW251" s="63"/>
      <c r="DX251" s="63"/>
      <c r="DY251" s="63"/>
      <c r="DZ251" s="63"/>
      <c r="EA251" s="63"/>
      <c r="EB251" s="63"/>
      <c r="EC251" s="63"/>
      <c r="ED251" s="63"/>
      <c r="EE251" s="63"/>
      <c r="EF251" s="63"/>
      <c r="EG251" s="63"/>
      <c r="EH251" s="63"/>
      <c r="EI251" s="63"/>
      <c r="EJ251" s="63"/>
      <c r="EK251" s="63"/>
      <c r="EL251" s="63"/>
      <c r="EM251" s="63"/>
      <c r="EN251" s="63"/>
      <c r="EO251" s="63"/>
      <c r="EP251" s="63"/>
      <c r="EQ251" s="63"/>
      <c r="ER251" s="63"/>
      <c r="ES251" s="63"/>
      <c r="ET251" s="63"/>
      <c r="EU251" s="63"/>
      <c r="EV251" s="63"/>
      <c r="EW251" s="63"/>
      <c r="EX251" s="63"/>
      <c r="EY251" s="63"/>
      <c r="EZ251" s="34"/>
      <c r="FA251" s="33"/>
      <c r="FB251" s="33"/>
      <c r="FC251" s="33"/>
      <c r="FD251" s="33"/>
      <c r="FE251" s="33"/>
      <c r="FF251" s="33"/>
      <c r="FG251" s="33"/>
      <c r="FH251" s="33"/>
      <c r="FI251" s="33"/>
      <c r="FJ251" s="33"/>
      <c r="FK251" s="33"/>
      <c r="FL251" s="33"/>
      <c r="FM251" s="33"/>
      <c r="FN251" s="33"/>
      <c r="FO251" s="33"/>
      <c r="FP251" s="33"/>
      <c r="FQ251" s="33"/>
      <c r="FR251" s="33"/>
      <c r="FS251" s="33"/>
      <c r="FT251" s="33"/>
      <c r="FU251" s="33"/>
      <c r="FV251" s="33"/>
      <c r="FW251" s="33"/>
      <c r="FX251" s="33"/>
      <c r="FY251" s="33"/>
      <c r="FZ251" s="33"/>
      <c r="GA251" s="33"/>
    </row>
    <row r="252" ht="15.75" customHeight="1">
      <c r="A252" s="20" t="s">
        <v>513</v>
      </c>
      <c r="B252" s="20"/>
      <c r="C252" s="22"/>
      <c r="D252" s="22"/>
      <c r="E252" s="22"/>
      <c r="F252" s="22"/>
      <c r="G252" s="22"/>
      <c r="H252" s="22"/>
      <c r="I252" s="22"/>
      <c r="J252" s="22"/>
      <c r="K252" s="23"/>
      <c r="L252" s="23"/>
      <c r="M252" s="23"/>
      <c r="N252" s="23"/>
      <c r="O252" s="22"/>
      <c r="P252" s="24"/>
      <c r="Q252" s="24" t="str">
        <f t="shared" si="12"/>
        <v>coarse-grained, homogeneous, white marble</v>
      </c>
      <c r="R252" s="20" t="s">
        <v>222</v>
      </c>
      <c r="S252" s="20" t="s">
        <v>189</v>
      </c>
      <c r="T252" s="20" t="s">
        <v>194</v>
      </c>
      <c r="U252" s="20" t="s">
        <v>195</v>
      </c>
      <c r="V252" s="22"/>
      <c r="W252" s="20" t="s">
        <v>166</v>
      </c>
      <c r="X252" s="20">
        <v>3.5</v>
      </c>
      <c r="Y252" s="20" t="s">
        <v>183</v>
      </c>
      <c r="Z252" s="20" t="s">
        <v>207</v>
      </c>
      <c r="AA252" s="33"/>
      <c r="AB252" s="33"/>
      <c r="AC252" s="33"/>
      <c r="AD252" s="33"/>
      <c r="AE252" s="88"/>
      <c r="AF252" s="33"/>
      <c r="AG252" s="33"/>
      <c r="AH252" s="33"/>
      <c r="AI252" s="33"/>
      <c r="AJ252" s="33"/>
      <c r="AK252" s="33"/>
      <c r="AL252" s="33"/>
      <c r="AM252" s="22"/>
      <c r="AN252" s="22"/>
      <c r="AO252" s="43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33"/>
      <c r="CF252" s="33"/>
      <c r="CG252" s="33"/>
      <c r="CH252" s="33"/>
      <c r="CI252" s="33"/>
      <c r="CJ252" s="33"/>
      <c r="CK252" s="33"/>
      <c r="CL252" s="33"/>
      <c r="CM252" s="33"/>
      <c r="CN252" s="33"/>
      <c r="CO252" s="33"/>
      <c r="CP252" s="33"/>
      <c r="CQ252" s="33"/>
      <c r="CR252" s="33"/>
      <c r="CS252" s="33"/>
      <c r="CT252" s="33"/>
      <c r="CU252" s="33"/>
      <c r="CV252" s="33"/>
      <c r="CW252" s="161"/>
      <c r="CX252" s="128"/>
      <c r="CY252" s="128"/>
      <c r="CZ252" s="33"/>
      <c r="DA252" s="33"/>
      <c r="DB252" s="33"/>
      <c r="DC252" s="33"/>
      <c r="DD252" s="33"/>
      <c r="DE252" s="33"/>
      <c r="DF252" s="33"/>
      <c r="DG252" s="33"/>
      <c r="DH252" s="33"/>
      <c r="DI252" s="33"/>
      <c r="DJ252" s="50"/>
      <c r="DK252" s="63"/>
      <c r="DL252" s="63"/>
      <c r="DM252" s="63"/>
      <c r="DN252" s="63"/>
      <c r="DO252" s="63"/>
      <c r="DP252" s="63"/>
      <c r="DQ252" s="63"/>
      <c r="DR252" s="63"/>
      <c r="DS252" s="63"/>
      <c r="DT252" s="63"/>
      <c r="DU252" s="63"/>
      <c r="DV252" s="63"/>
      <c r="DW252" s="63"/>
      <c r="DX252" s="63"/>
      <c r="DY252" s="63"/>
      <c r="DZ252" s="63"/>
      <c r="EA252" s="63"/>
      <c r="EB252" s="63"/>
      <c r="EC252" s="63"/>
      <c r="ED252" s="63"/>
      <c r="EE252" s="63"/>
      <c r="EF252" s="63"/>
      <c r="EG252" s="63"/>
      <c r="EH252" s="63"/>
      <c r="EI252" s="63"/>
      <c r="EJ252" s="63"/>
      <c r="EK252" s="63"/>
      <c r="EL252" s="63"/>
      <c r="EM252" s="63"/>
      <c r="EN252" s="63"/>
      <c r="EO252" s="63"/>
      <c r="EP252" s="63"/>
      <c r="EQ252" s="63"/>
      <c r="ER252" s="63"/>
      <c r="ES252" s="63"/>
      <c r="ET252" s="63"/>
      <c r="EU252" s="63"/>
      <c r="EV252" s="63"/>
      <c r="EW252" s="63"/>
      <c r="EX252" s="63"/>
      <c r="EY252" s="63"/>
      <c r="EZ252" s="34"/>
      <c r="FA252" s="33"/>
      <c r="FB252" s="33"/>
      <c r="FC252" s="33"/>
      <c r="FD252" s="33"/>
      <c r="FE252" s="33"/>
      <c r="FF252" s="33"/>
      <c r="FG252" s="33"/>
      <c r="FH252" s="33"/>
      <c r="FI252" s="33"/>
      <c r="FJ252" s="33"/>
      <c r="FK252" s="33"/>
      <c r="FL252" s="33"/>
      <c r="FM252" s="33"/>
      <c r="FN252" s="33"/>
      <c r="FO252" s="33"/>
      <c r="FP252" s="33"/>
      <c r="FQ252" s="33"/>
      <c r="FR252" s="33"/>
      <c r="FS252" s="33"/>
      <c r="FT252" s="33"/>
      <c r="FU252" s="33"/>
      <c r="FV252" s="33"/>
      <c r="FW252" s="33"/>
      <c r="FX252" s="33"/>
      <c r="FY252" s="33"/>
      <c r="FZ252" s="33"/>
      <c r="GA252" s="33"/>
    </row>
    <row r="253" ht="15.75" customHeight="1">
      <c r="A253" s="20" t="s">
        <v>514</v>
      </c>
      <c r="B253" s="20"/>
      <c r="C253" s="22"/>
      <c r="D253" s="22"/>
      <c r="E253" s="22"/>
      <c r="F253" s="22"/>
      <c r="G253" s="22"/>
      <c r="H253" s="22"/>
      <c r="I253" s="22"/>
      <c r="J253" s="22"/>
      <c r="K253" s="48" t="s">
        <v>481</v>
      </c>
      <c r="L253" s="23"/>
      <c r="M253" s="23"/>
      <c r="N253" s="23"/>
      <c r="O253" s="22" t="s">
        <v>164</v>
      </c>
      <c r="P253" s="24"/>
      <c r="Q253" s="24" t="str">
        <f t="shared" si="12"/>
        <v>fine-grained, banded, white marble</v>
      </c>
      <c r="R253" s="20" t="s">
        <v>180</v>
      </c>
      <c r="S253" s="20" t="s">
        <v>189</v>
      </c>
      <c r="T253" s="20" t="s">
        <v>182</v>
      </c>
      <c r="U253" s="20" t="s">
        <v>181</v>
      </c>
      <c r="V253" s="20" t="s">
        <v>190</v>
      </c>
      <c r="W253" s="20" t="s">
        <v>166</v>
      </c>
      <c r="X253" s="20">
        <v>1.0</v>
      </c>
      <c r="Y253" s="20" t="s">
        <v>209</v>
      </c>
      <c r="Z253" s="20" t="s">
        <v>184</v>
      </c>
      <c r="AA253" s="33"/>
      <c r="AB253" s="50" t="s">
        <v>166</v>
      </c>
      <c r="AC253" s="50">
        <v>0.8</v>
      </c>
      <c r="AD253" s="50" t="s">
        <v>191</v>
      </c>
      <c r="AE253" s="36" t="s">
        <v>439</v>
      </c>
      <c r="AF253" s="50" t="s">
        <v>166</v>
      </c>
      <c r="AG253" s="50" t="s">
        <v>166</v>
      </c>
      <c r="AH253" s="33" t="s">
        <v>164</v>
      </c>
      <c r="AI253" s="33" t="s">
        <v>164</v>
      </c>
      <c r="AJ253" s="33" t="s">
        <v>164</v>
      </c>
      <c r="AK253" s="33" t="s">
        <v>164</v>
      </c>
      <c r="AL253" s="50" t="s">
        <v>166</v>
      </c>
      <c r="AM253" s="22"/>
      <c r="AN253" s="22"/>
      <c r="AO253" s="43">
        <f t="shared" ref="AO253:AO255" si="17">SUM(AP253,AQ253,AR253)</f>
        <v>0</v>
      </c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 t="s">
        <v>164</v>
      </c>
      <c r="BF253" s="22" t="s">
        <v>164</v>
      </c>
      <c r="BG253" s="22" t="s">
        <v>164</v>
      </c>
      <c r="BH253" s="22" t="s">
        <v>164</v>
      </c>
      <c r="BI253" s="22"/>
      <c r="BJ253" s="22" t="s">
        <v>164</v>
      </c>
      <c r="BK253" s="22"/>
      <c r="BL253" s="22" t="s">
        <v>164</v>
      </c>
      <c r="BM253" s="22"/>
      <c r="BN253" s="22" t="s">
        <v>164</v>
      </c>
      <c r="BO253" s="22"/>
      <c r="BP253" s="22"/>
      <c r="BQ253" s="22"/>
      <c r="BR253" s="22" t="s">
        <v>164</v>
      </c>
      <c r="BS253" s="22"/>
      <c r="BT253" s="22" t="s">
        <v>164</v>
      </c>
      <c r="BU253" s="22"/>
      <c r="BV253" s="22"/>
      <c r="BW253" s="22"/>
      <c r="BX253" s="22" t="s">
        <v>164</v>
      </c>
      <c r="BY253" s="22"/>
      <c r="BZ253" s="22" t="s">
        <v>164</v>
      </c>
      <c r="CA253" s="22"/>
      <c r="CB253" s="22" t="s">
        <v>164</v>
      </c>
      <c r="CC253" s="22"/>
      <c r="CD253" s="22" t="s">
        <v>164</v>
      </c>
      <c r="CE253" s="33" t="s">
        <v>164</v>
      </c>
      <c r="CF253" s="33" t="s">
        <v>164</v>
      </c>
      <c r="CG253" s="33" t="s">
        <v>164</v>
      </c>
      <c r="CH253" s="33" t="s">
        <v>164</v>
      </c>
      <c r="CI253" s="33" t="s">
        <v>164</v>
      </c>
      <c r="CJ253" s="33" t="s">
        <v>164</v>
      </c>
      <c r="CK253" s="33" t="s">
        <v>164</v>
      </c>
      <c r="CL253" s="33" t="s">
        <v>164</v>
      </c>
      <c r="CM253" s="33" t="s">
        <v>164</v>
      </c>
      <c r="CN253" s="33" t="s">
        <v>164</v>
      </c>
      <c r="CO253" s="33" t="s">
        <v>164</v>
      </c>
      <c r="CP253" s="33" t="s">
        <v>164</v>
      </c>
      <c r="CQ253" s="33" t="s">
        <v>164</v>
      </c>
      <c r="CR253" s="33" t="s">
        <v>164</v>
      </c>
      <c r="CS253" s="33" t="s">
        <v>164</v>
      </c>
      <c r="CT253" s="33" t="s">
        <v>164</v>
      </c>
      <c r="CU253" s="33" t="s">
        <v>164</v>
      </c>
      <c r="CV253" s="33" t="s">
        <v>164</v>
      </c>
      <c r="CW253" s="37" t="s">
        <v>166</v>
      </c>
      <c r="CX253" s="38">
        <v>1.79</v>
      </c>
      <c r="CY253" s="38">
        <v>-3.12</v>
      </c>
      <c r="CZ253" s="50" t="s">
        <v>166</v>
      </c>
      <c r="DA253" s="33" t="s">
        <v>164</v>
      </c>
      <c r="DB253" s="33" t="s">
        <v>164</v>
      </c>
      <c r="DC253" s="33" t="s">
        <v>164</v>
      </c>
      <c r="DD253" s="33" t="s">
        <v>164</v>
      </c>
      <c r="DE253" s="33" t="s">
        <v>164</v>
      </c>
      <c r="DF253" s="33" t="s">
        <v>164</v>
      </c>
      <c r="DG253" s="33" t="s">
        <v>164</v>
      </c>
      <c r="DH253" s="33" t="s">
        <v>164</v>
      </c>
      <c r="DI253" s="33" t="s">
        <v>164</v>
      </c>
      <c r="DJ253" s="50" t="s">
        <v>166</v>
      </c>
      <c r="DK253" s="52">
        <v>0.69</v>
      </c>
      <c r="DL253" s="52">
        <v>3.79</v>
      </c>
      <c r="DM253" s="52">
        <v>69.72</v>
      </c>
      <c r="DN253" s="52">
        <v>2872.52</v>
      </c>
      <c r="DO253" s="52">
        <v>0.051652941</v>
      </c>
      <c r="DP253" s="52">
        <v>4.07</v>
      </c>
      <c r="DQ253" s="52">
        <v>0.73</v>
      </c>
      <c r="DR253" s="52">
        <v>3.66</v>
      </c>
      <c r="DS253" s="52">
        <v>1.38</v>
      </c>
      <c r="DT253" s="52">
        <v>8.92</v>
      </c>
      <c r="DU253" s="52">
        <v>184.83</v>
      </c>
      <c r="DV253" s="52">
        <v>0.2</v>
      </c>
      <c r="DW253" s="52">
        <v>2.97</v>
      </c>
      <c r="DX253" s="52">
        <v>0.8</v>
      </c>
      <c r="DY253" s="52">
        <v>10.54</v>
      </c>
      <c r="DZ253" s="52">
        <v>0.1</v>
      </c>
      <c r="EA253" s="52">
        <v>0.18</v>
      </c>
      <c r="EB253" s="52">
        <v>0.17</v>
      </c>
      <c r="EC253" s="52">
        <v>274.36</v>
      </c>
      <c r="ED253" s="52">
        <v>0.17</v>
      </c>
      <c r="EE253" s="52">
        <v>0.09</v>
      </c>
      <c r="EF253" s="52">
        <v>0.01</v>
      </c>
      <c r="EG253" s="52">
        <v>0.01</v>
      </c>
      <c r="EH253" s="52">
        <v>0.09</v>
      </c>
      <c r="EI253" s="52">
        <v>0.04</v>
      </c>
      <c r="EJ253" s="52">
        <v>0.01</v>
      </c>
      <c r="EK253" s="52">
        <v>2.9</v>
      </c>
      <c r="EL253" s="52">
        <v>0.1</v>
      </c>
      <c r="EM253" s="52">
        <v>0.32</v>
      </c>
      <c r="EN253" s="52">
        <v>0.0</v>
      </c>
      <c r="EO253" s="52">
        <v>0.02</v>
      </c>
      <c r="EP253" s="52">
        <v>0.0</v>
      </c>
      <c r="EQ253" s="52">
        <v>0.02</v>
      </c>
      <c r="ER253" s="52">
        <v>0.02</v>
      </c>
      <c r="ES253" s="52">
        <v>0.01</v>
      </c>
      <c r="ET253" s="52">
        <v>0.005043893</v>
      </c>
      <c r="EU253" s="52">
        <v>0.01</v>
      </c>
      <c r="EV253" s="52">
        <v>4.03</v>
      </c>
      <c r="EW253" s="52">
        <v>6.2</v>
      </c>
      <c r="EX253" s="52">
        <v>2.94</v>
      </c>
      <c r="EY253" s="52">
        <v>0.1</v>
      </c>
      <c r="EZ253" s="34"/>
      <c r="FA253" s="33"/>
      <c r="FB253" s="33"/>
      <c r="FC253" s="33"/>
      <c r="FD253" s="33"/>
      <c r="FE253" s="33"/>
      <c r="FF253" s="33"/>
      <c r="FG253" s="33"/>
      <c r="FH253" s="33"/>
      <c r="FI253" s="33"/>
      <c r="FJ253" s="33"/>
      <c r="FK253" s="33"/>
      <c r="FL253" s="33"/>
      <c r="FM253" s="33"/>
      <c r="FN253" s="33"/>
      <c r="FO253" s="33"/>
      <c r="FP253" s="33"/>
      <c r="FQ253" s="33"/>
      <c r="FR253" s="33"/>
      <c r="FS253" s="33"/>
      <c r="FT253" s="33"/>
      <c r="FU253" s="33"/>
      <c r="FV253" s="33"/>
      <c r="FW253" s="33"/>
      <c r="FX253" s="33"/>
      <c r="FY253" s="33"/>
      <c r="FZ253" s="33"/>
      <c r="GA253" s="33"/>
    </row>
    <row r="254" ht="15.75" customHeight="1">
      <c r="A254" s="20" t="s">
        <v>515</v>
      </c>
      <c r="B254" s="20"/>
      <c r="C254" s="22"/>
      <c r="D254" s="22"/>
      <c r="E254" s="22"/>
      <c r="F254" s="22"/>
      <c r="G254" s="22"/>
      <c r="H254" s="22"/>
      <c r="I254" s="22"/>
      <c r="J254" s="22"/>
      <c r="K254" s="23"/>
      <c r="L254" s="23"/>
      <c r="M254" s="23"/>
      <c r="N254" s="23"/>
      <c r="O254" s="22"/>
      <c r="P254" s="24"/>
      <c r="Q254" s="24" t="str">
        <f t="shared" si="12"/>
        <v>very fine-grained, veined, white marble</v>
      </c>
      <c r="R254" s="22" t="s">
        <v>188</v>
      </c>
      <c r="S254" s="22" t="s">
        <v>189</v>
      </c>
      <c r="T254" s="22" t="s">
        <v>206</v>
      </c>
      <c r="U254" s="22" t="s">
        <v>374</v>
      </c>
      <c r="V254" s="22"/>
      <c r="W254" s="20" t="s">
        <v>166</v>
      </c>
      <c r="X254" s="20" t="s">
        <v>219</v>
      </c>
      <c r="Y254" s="20" t="s">
        <v>219</v>
      </c>
      <c r="Z254" s="20" t="s">
        <v>219</v>
      </c>
      <c r="AE254" s="110"/>
      <c r="AM254" s="22"/>
      <c r="AN254" s="22"/>
      <c r="AO254" s="43">
        <f t="shared" si="17"/>
        <v>0</v>
      </c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W254" s="46"/>
      <c r="CX254" s="116"/>
      <c r="CY254" s="47"/>
    </row>
    <row r="255" ht="15.75" customHeight="1">
      <c r="A255" s="20" t="s">
        <v>516</v>
      </c>
      <c r="B255" s="20"/>
      <c r="C255" s="22"/>
      <c r="D255" s="22"/>
      <c r="E255" s="22"/>
      <c r="F255" s="22"/>
      <c r="G255" s="22"/>
      <c r="H255" s="22"/>
      <c r="I255" s="22"/>
      <c r="J255" s="22"/>
      <c r="K255" s="23"/>
      <c r="L255" s="23"/>
      <c r="M255" s="23"/>
      <c r="N255" s="23"/>
      <c r="O255" s="22"/>
      <c r="P255" s="24"/>
      <c r="Q255" s="24" t="str">
        <f t="shared" si="12"/>
        <v>fine-grained, veined, white marble</v>
      </c>
      <c r="R255" s="20" t="s">
        <v>180</v>
      </c>
      <c r="S255" s="20" t="s">
        <v>189</v>
      </c>
      <c r="T255" s="20" t="s">
        <v>206</v>
      </c>
      <c r="U255" s="20" t="s">
        <v>181</v>
      </c>
      <c r="V255" s="20" t="s">
        <v>166</v>
      </c>
      <c r="W255" s="20" t="s">
        <v>166</v>
      </c>
      <c r="X255" s="20">
        <v>1.0</v>
      </c>
      <c r="Y255" s="20" t="s">
        <v>183</v>
      </c>
      <c r="Z255" s="20" t="s">
        <v>219</v>
      </c>
      <c r="AC255" s="44"/>
      <c r="AE255" s="110"/>
      <c r="AM255" s="22"/>
      <c r="AN255" s="22"/>
      <c r="AO255" s="43">
        <f t="shared" si="17"/>
        <v>0</v>
      </c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W255" s="90"/>
      <c r="CX255" s="47"/>
      <c r="CY255" s="47"/>
    </row>
    <row r="256" ht="15.75" customHeight="1">
      <c r="A256" s="20" t="s">
        <v>517</v>
      </c>
      <c r="B256" s="20"/>
      <c r="C256" s="22"/>
      <c r="D256" s="22"/>
      <c r="E256" s="22"/>
      <c r="F256" s="22"/>
      <c r="G256" s="22"/>
      <c r="H256" s="22"/>
      <c r="I256" s="22"/>
      <c r="J256" s="22"/>
      <c r="K256" s="23"/>
      <c r="L256" s="23"/>
      <c r="M256" s="23"/>
      <c r="N256" s="23"/>
      <c r="O256" s="22"/>
      <c r="P256" s="24"/>
      <c r="Q256" s="24" t="str">
        <f t="shared" si="12"/>
        <v>fine-grained, homogeneous, white marble</v>
      </c>
      <c r="R256" s="20" t="s">
        <v>180</v>
      </c>
      <c r="S256" s="20" t="s">
        <v>189</v>
      </c>
      <c r="T256" s="20" t="s">
        <v>194</v>
      </c>
      <c r="U256" s="20" t="s">
        <v>195</v>
      </c>
      <c r="V256" s="22"/>
      <c r="W256" s="20" t="s">
        <v>166</v>
      </c>
      <c r="X256" s="20">
        <v>1.4</v>
      </c>
      <c r="Y256" s="20" t="s">
        <v>219</v>
      </c>
      <c r="Z256" s="20" t="s">
        <v>219</v>
      </c>
      <c r="AA256" s="33"/>
      <c r="AB256" s="33"/>
      <c r="AC256" s="25"/>
      <c r="AD256" s="33"/>
      <c r="AE256" s="88"/>
      <c r="AF256" s="33"/>
      <c r="AG256" s="33"/>
      <c r="AH256" s="33"/>
      <c r="AI256" s="33"/>
      <c r="AJ256" s="33"/>
      <c r="AK256" s="33"/>
      <c r="AL256" s="33"/>
      <c r="AM256" s="22"/>
      <c r="AN256" s="22"/>
      <c r="AO256" s="43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33"/>
      <c r="CF256" s="33"/>
      <c r="CG256" s="33"/>
      <c r="CH256" s="33"/>
      <c r="CI256" s="33"/>
      <c r="CJ256" s="33"/>
      <c r="CK256" s="33"/>
      <c r="CL256" s="33"/>
      <c r="CM256" s="33"/>
      <c r="CN256" s="33"/>
      <c r="CO256" s="33"/>
      <c r="CP256" s="33"/>
      <c r="CQ256" s="33"/>
      <c r="CR256" s="33"/>
      <c r="CS256" s="33"/>
      <c r="CT256" s="33"/>
      <c r="CU256" s="33"/>
      <c r="CV256" s="33"/>
      <c r="CW256" s="141"/>
      <c r="CX256" s="54"/>
      <c r="CY256" s="54"/>
      <c r="CZ256" s="33"/>
      <c r="DA256" s="33"/>
      <c r="DB256" s="33"/>
      <c r="DC256" s="33"/>
      <c r="DD256" s="33"/>
      <c r="DE256" s="33"/>
      <c r="DF256" s="33"/>
      <c r="DG256" s="33"/>
      <c r="DH256" s="33"/>
      <c r="DI256" s="33"/>
      <c r="DJ256" s="50"/>
      <c r="DK256" s="63"/>
      <c r="DL256" s="63"/>
      <c r="DM256" s="63"/>
      <c r="DN256" s="63"/>
      <c r="DO256" s="63"/>
      <c r="DP256" s="63"/>
      <c r="DQ256" s="63"/>
      <c r="DR256" s="63"/>
      <c r="DS256" s="63"/>
      <c r="DT256" s="63"/>
      <c r="DU256" s="63"/>
      <c r="DV256" s="63"/>
      <c r="DW256" s="63"/>
      <c r="DX256" s="63"/>
      <c r="DY256" s="63"/>
      <c r="DZ256" s="63"/>
      <c r="EA256" s="63"/>
      <c r="EB256" s="63"/>
      <c r="EC256" s="63"/>
      <c r="ED256" s="63"/>
      <c r="EE256" s="63"/>
      <c r="EF256" s="63"/>
      <c r="EG256" s="63"/>
      <c r="EH256" s="63"/>
      <c r="EI256" s="63"/>
      <c r="EJ256" s="63"/>
      <c r="EK256" s="63"/>
      <c r="EL256" s="63"/>
      <c r="EM256" s="63"/>
      <c r="EN256" s="63"/>
      <c r="EO256" s="63"/>
      <c r="EP256" s="63"/>
      <c r="EQ256" s="63"/>
      <c r="ER256" s="63"/>
      <c r="ES256" s="63"/>
      <c r="ET256" s="162"/>
      <c r="EU256" s="63"/>
      <c r="EV256" s="63"/>
      <c r="EW256" s="63"/>
      <c r="EX256" s="63"/>
      <c r="EY256" s="63"/>
      <c r="EZ256" s="40"/>
    </row>
    <row r="257" ht="15.75" customHeight="1">
      <c r="A257" s="20" t="s">
        <v>518</v>
      </c>
      <c r="B257" s="20"/>
      <c r="C257" s="22"/>
      <c r="D257" s="22"/>
      <c r="E257" s="22"/>
      <c r="F257" s="22"/>
      <c r="G257" s="22"/>
      <c r="H257" s="22"/>
      <c r="I257" s="22"/>
      <c r="J257" s="22"/>
      <c r="K257" s="23"/>
      <c r="L257" s="23"/>
      <c r="M257" s="23"/>
      <c r="N257" s="23"/>
      <c r="O257" s="22"/>
      <c r="P257" s="24"/>
      <c r="Q257" s="24" t="str">
        <f t="shared" si="12"/>
        <v>medium-grained, homogeneous, white marble</v>
      </c>
      <c r="R257" s="20" t="s">
        <v>205</v>
      </c>
      <c r="S257" s="20" t="s">
        <v>189</v>
      </c>
      <c r="T257" s="20" t="s">
        <v>194</v>
      </c>
      <c r="U257" s="20" t="s">
        <v>195</v>
      </c>
      <c r="V257" s="22"/>
      <c r="W257" s="20" t="s">
        <v>166</v>
      </c>
      <c r="X257" s="20">
        <v>2.1</v>
      </c>
      <c r="Y257" s="20" t="s">
        <v>219</v>
      </c>
      <c r="Z257" s="20" t="s">
        <v>219</v>
      </c>
      <c r="AA257" s="33"/>
      <c r="AB257" s="33"/>
      <c r="AC257" s="25"/>
      <c r="AD257" s="33"/>
      <c r="AE257" s="88"/>
      <c r="AF257" s="33"/>
      <c r="AG257" s="33"/>
      <c r="AH257" s="33"/>
      <c r="AI257" s="33"/>
      <c r="AJ257" s="33"/>
      <c r="AK257" s="33"/>
      <c r="AL257" s="33"/>
      <c r="AM257" s="22"/>
      <c r="AN257" s="22"/>
      <c r="AO257" s="43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33"/>
      <c r="CF257" s="33"/>
      <c r="CG257" s="33"/>
      <c r="CH257" s="33"/>
      <c r="CI257" s="33"/>
      <c r="CJ257" s="33"/>
      <c r="CK257" s="33"/>
      <c r="CL257" s="33"/>
      <c r="CM257" s="33"/>
      <c r="CN257" s="33"/>
      <c r="CO257" s="33"/>
      <c r="CP257" s="33"/>
      <c r="CQ257" s="33"/>
      <c r="CR257" s="33"/>
      <c r="CS257" s="33"/>
      <c r="CT257" s="33"/>
      <c r="CU257" s="33"/>
      <c r="CV257" s="33"/>
      <c r="CW257" s="141"/>
      <c r="CX257" s="142"/>
      <c r="CY257" s="142"/>
      <c r="CZ257" s="33"/>
      <c r="DA257" s="33"/>
      <c r="DB257" s="33"/>
      <c r="DC257" s="33"/>
      <c r="DD257" s="33"/>
      <c r="DE257" s="33"/>
      <c r="DF257" s="33"/>
      <c r="DG257" s="33"/>
      <c r="DH257" s="33"/>
      <c r="DI257" s="33"/>
      <c r="DJ257" s="50"/>
      <c r="DK257" s="63"/>
      <c r="DL257" s="63"/>
      <c r="DM257" s="63"/>
      <c r="DN257" s="63"/>
      <c r="DO257" s="63"/>
      <c r="DP257" s="63"/>
      <c r="DQ257" s="63"/>
      <c r="DR257" s="63"/>
      <c r="DS257" s="63"/>
      <c r="DT257" s="63"/>
      <c r="DU257" s="63"/>
      <c r="DV257" s="63"/>
      <c r="DW257" s="63"/>
      <c r="DX257" s="63"/>
      <c r="DY257" s="63"/>
      <c r="DZ257" s="63"/>
      <c r="EA257" s="63"/>
      <c r="EB257" s="63"/>
      <c r="EC257" s="63"/>
      <c r="ED257" s="63"/>
      <c r="EE257" s="63"/>
      <c r="EF257" s="63"/>
      <c r="EG257" s="63"/>
      <c r="EH257" s="63"/>
      <c r="EI257" s="63"/>
      <c r="EJ257" s="63"/>
      <c r="EK257" s="63"/>
      <c r="EL257" s="63"/>
      <c r="EM257" s="63"/>
      <c r="EN257" s="63"/>
      <c r="EO257" s="63"/>
      <c r="EP257" s="63"/>
      <c r="EQ257" s="63"/>
      <c r="ER257" s="63"/>
      <c r="ES257" s="63"/>
      <c r="ET257" s="162"/>
      <c r="EU257" s="63"/>
      <c r="EV257" s="63"/>
      <c r="EW257" s="63"/>
      <c r="EX257" s="63"/>
      <c r="EY257" s="63"/>
      <c r="EZ257" s="40"/>
    </row>
    <row r="258" ht="15.75" customHeight="1">
      <c r="A258" s="20" t="s">
        <v>519</v>
      </c>
      <c r="B258" s="20"/>
      <c r="C258" s="22"/>
      <c r="D258" s="22"/>
      <c r="E258" s="22"/>
      <c r="F258" s="22"/>
      <c r="G258" s="22"/>
      <c r="H258" s="22"/>
      <c r="I258" s="22"/>
      <c r="J258" s="22"/>
      <c r="K258" s="48" t="s">
        <v>187</v>
      </c>
      <c r="L258" s="23"/>
      <c r="M258" s="23"/>
      <c r="N258" s="23"/>
      <c r="O258" s="22" t="s">
        <v>164</v>
      </c>
      <c r="P258" s="24"/>
      <c r="Q258" s="24" t="str">
        <f t="shared" si="12"/>
        <v>very fine-grained, banded, grey marble</v>
      </c>
      <c r="R258" s="20" t="s">
        <v>188</v>
      </c>
      <c r="S258" s="20" t="s">
        <v>181</v>
      </c>
      <c r="T258" s="20" t="s">
        <v>182</v>
      </c>
      <c r="U258" s="20" t="s">
        <v>189</v>
      </c>
      <c r="V258" s="20" t="s">
        <v>190</v>
      </c>
      <c r="W258" s="20" t="s">
        <v>166</v>
      </c>
      <c r="X258" s="20">
        <v>0.4</v>
      </c>
      <c r="Y258" s="20" t="s">
        <v>196</v>
      </c>
      <c r="Z258" s="22" t="s">
        <v>164</v>
      </c>
      <c r="AA258" s="33"/>
      <c r="AB258" s="50" t="s">
        <v>166</v>
      </c>
      <c r="AC258" s="49">
        <v>0.4</v>
      </c>
      <c r="AD258" s="50" t="s">
        <v>183</v>
      </c>
      <c r="AE258" s="36" t="s">
        <v>213</v>
      </c>
      <c r="AF258" s="33" t="s">
        <v>164</v>
      </c>
      <c r="AG258" s="50" t="s">
        <v>166</v>
      </c>
      <c r="AH258" s="33" t="s">
        <v>164</v>
      </c>
      <c r="AI258" s="50" t="s">
        <v>166</v>
      </c>
      <c r="AJ258" s="33" t="s">
        <v>164</v>
      </c>
      <c r="AK258" s="50" t="s">
        <v>166</v>
      </c>
      <c r="AL258" s="33" t="s">
        <v>164</v>
      </c>
      <c r="AM258" s="22"/>
      <c r="AN258" s="22"/>
      <c r="AO258" s="43">
        <f>SUM(AP258,AQ258,AR258)</f>
        <v>0</v>
      </c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 t="s">
        <v>164</v>
      </c>
      <c r="BF258" s="22" t="s">
        <v>164</v>
      </c>
      <c r="BG258" s="22" t="s">
        <v>164</v>
      </c>
      <c r="BH258" s="22" t="s">
        <v>164</v>
      </c>
      <c r="BI258" s="22"/>
      <c r="BJ258" s="22" t="s">
        <v>164</v>
      </c>
      <c r="BK258" s="22"/>
      <c r="BL258" s="22" t="s">
        <v>164</v>
      </c>
      <c r="BM258" s="22"/>
      <c r="BN258" s="22" t="s">
        <v>164</v>
      </c>
      <c r="BO258" s="22"/>
      <c r="BP258" s="22"/>
      <c r="BQ258" s="22"/>
      <c r="BR258" s="22" t="s">
        <v>164</v>
      </c>
      <c r="BS258" s="22"/>
      <c r="BT258" s="22" t="s">
        <v>164</v>
      </c>
      <c r="BU258" s="22"/>
      <c r="BV258" s="22"/>
      <c r="BW258" s="22"/>
      <c r="BX258" s="22" t="s">
        <v>164</v>
      </c>
      <c r="BY258" s="22"/>
      <c r="BZ258" s="22" t="s">
        <v>164</v>
      </c>
      <c r="CA258" s="22"/>
      <c r="CB258" s="22" t="s">
        <v>164</v>
      </c>
      <c r="CC258" s="22"/>
      <c r="CD258" s="22" t="s">
        <v>164</v>
      </c>
      <c r="CE258" s="33" t="s">
        <v>164</v>
      </c>
      <c r="CF258" s="33" t="s">
        <v>164</v>
      </c>
      <c r="CG258" s="33" t="s">
        <v>164</v>
      </c>
      <c r="CH258" s="33" t="s">
        <v>164</v>
      </c>
      <c r="CI258" s="33" t="s">
        <v>164</v>
      </c>
      <c r="CJ258" s="33" t="s">
        <v>164</v>
      </c>
      <c r="CK258" s="33" t="s">
        <v>164</v>
      </c>
      <c r="CL258" s="33" t="s">
        <v>164</v>
      </c>
      <c r="CM258" s="33" t="s">
        <v>164</v>
      </c>
      <c r="CN258" s="33" t="s">
        <v>164</v>
      </c>
      <c r="CO258" s="33" t="s">
        <v>164</v>
      </c>
      <c r="CP258" s="33" t="s">
        <v>164</v>
      </c>
      <c r="CQ258" s="33" t="s">
        <v>164</v>
      </c>
      <c r="CR258" s="33" t="s">
        <v>164</v>
      </c>
      <c r="CS258" s="33" t="s">
        <v>164</v>
      </c>
      <c r="CT258" s="33" t="s">
        <v>164</v>
      </c>
      <c r="CU258" s="33" t="s">
        <v>164</v>
      </c>
      <c r="CV258" s="33" t="s">
        <v>164</v>
      </c>
      <c r="CW258" s="140" t="s">
        <v>166</v>
      </c>
      <c r="CX258" s="38">
        <v>2.36</v>
      </c>
      <c r="CY258" s="38">
        <v>-1.94</v>
      </c>
      <c r="CZ258" s="50" t="s">
        <v>166</v>
      </c>
      <c r="DA258" s="33" t="s">
        <v>164</v>
      </c>
      <c r="DB258" s="33" t="s">
        <v>164</v>
      </c>
      <c r="DC258" s="33" t="s">
        <v>164</v>
      </c>
      <c r="DD258" s="33" t="s">
        <v>164</v>
      </c>
      <c r="DE258" s="33" t="s">
        <v>164</v>
      </c>
      <c r="DF258" s="33" t="s">
        <v>164</v>
      </c>
      <c r="DG258" s="33" t="s">
        <v>164</v>
      </c>
      <c r="DH258" s="33" t="s">
        <v>164</v>
      </c>
      <c r="DI258" s="33" t="s">
        <v>164</v>
      </c>
      <c r="DJ258" s="50" t="s">
        <v>166</v>
      </c>
      <c r="DK258" s="52">
        <v>4.58</v>
      </c>
      <c r="DL258" s="52">
        <v>17.97</v>
      </c>
      <c r="DM258" s="52">
        <v>198.82</v>
      </c>
      <c r="DN258" s="52">
        <v>2875.04</v>
      </c>
      <c r="DO258" s="52">
        <v>1.093225781</v>
      </c>
      <c r="DP258" s="52">
        <v>224.51</v>
      </c>
      <c r="DQ258" s="52">
        <v>6.51</v>
      </c>
      <c r="DR258" s="52">
        <v>6.26</v>
      </c>
      <c r="DS258" s="52">
        <v>105.15</v>
      </c>
      <c r="DT258" s="52">
        <v>715.05</v>
      </c>
      <c r="DU258" s="52">
        <v>0.91</v>
      </c>
      <c r="DV258" s="52">
        <v>5.97</v>
      </c>
      <c r="DW258" s="52">
        <v>2.61</v>
      </c>
      <c r="DX258" s="52">
        <v>30.95</v>
      </c>
      <c r="DY258" s="52">
        <v>0.58</v>
      </c>
      <c r="DZ258" s="52">
        <v>1.98</v>
      </c>
      <c r="EA258" s="52">
        <v>4.96</v>
      </c>
      <c r="EB258" s="52">
        <v>189.27</v>
      </c>
      <c r="EC258" s="52">
        <v>20.98</v>
      </c>
      <c r="ED258" s="52">
        <v>4.86</v>
      </c>
      <c r="EE258" s="52">
        <v>1.03</v>
      </c>
      <c r="EF258" s="52">
        <v>0.03</v>
      </c>
      <c r="EG258" s="52">
        <v>0.62</v>
      </c>
      <c r="EH258" s="52">
        <v>0.1</v>
      </c>
      <c r="EI258" s="52">
        <v>0.36</v>
      </c>
      <c r="EJ258" s="52">
        <v>11.56</v>
      </c>
      <c r="EK258" s="52">
        <v>12.37</v>
      </c>
      <c r="EL258" s="52">
        <v>1.46</v>
      </c>
      <c r="EM258" s="52">
        <v>11.01</v>
      </c>
      <c r="EN258" s="52">
        <v>2.13</v>
      </c>
      <c r="EO258" s="52">
        <v>0.51</v>
      </c>
      <c r="EP258" s="52">
        <v>1.86</v>
      </c>
      <c r="EQ258" s="52">
        <v>2.83</v>
      </c>
      <c r="ER258" s="52">
        <v>1.79</v>
      </c>
      <c r="ES258" s="52">
        <v>1.32</v>
      </c>
      <c r="ET258" s="52">
        <v>0.095657633</v>
      </c>
      <c r="EU258" s="52">
        <v>13.5</v>
      </c>
      <c r="EV258" s="52">
        <v>24.81</v>
      </c>
      <c r="EW258" s="52">
        <v>191.31</v>
      </c>
      <c r="EX258" s="52">
        <v>1.27</v>
      </c>
      <c r="EY258" s="52">
        <v>0.34</v>
      </c>
      <c r="EZ258" s="40"/>
    </row>
    <row r="259" ht="15.75" customHeight="1">
      <c r="A259" s="20" t="s">
        <v>520</v>
      </c>
      <c r="B259" s="20"/>
      <c r="C259" s="22"/>
      <c r="D259" s="22"/>
      <c r="E259" s="22"/>
      <c r="F259" s="22"/>
      <c r="G259" s="22"/>
      <c r="H259" s="22"/>
      <c r="I259" s="22"/>
      <c r="J259" s="22"/>
      <c r="K259" s="23"/>
      <c r="L259" s="23"/>
      <c r="M259" s="23"/>
      <c r="N259" s="23"/>
      <c r="O259" s="22"/>
      <c r="P259" s="24"/>
      <c r="Q259" s="24" t="str">
        <f t="shared" si="12"/>
        <v>fine-grained, homogeneous, white marble</v>
      </c>
      <c r="R259" s="20" t="s">
        <v>180</v>
      </c>
      <c r="S259" s="20" t="s">
        <v>189</v>
      </c>
      <c r="T259" s="20" t="s">
        <v>194</v>
      </c>
      <c r="U259" s="20" t="s">
        <v>189</v>
      </c>
      <c r="V259" s="22"/>
      <c r="W259" s="20" t="s">
        <v>166</v>
      </c>
      <c r="X259" s="20">
        <v>0.6</v>
      </c>
      <c r="Y259" s="20" t="s">
        <v>196</v>
      </c>
      <c r="Z259" s="20" t="s">
        <v>198</v>
      </c>
      <c r="AC259" s="44"/>
      <c r="AE259" s="110"/>
      <c r="AM259" s="22"/>
      <c r="AN259" s="22"/>
      <c r="AO259" s="43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W259" s="116"/>
      <c r="CX259" s="47"/>
      <c r="CY259" s="47"/>
      <c r="DJ259" s="33"/>
      <c r="DK259" s="33"/>
      <c r="DL259" s="33"/>
      <c r="DM259" s="33"/>
      <c r="DN259" s="33"/>
      <c r="DO259" s="33"/>
      <c r="DP259" s="33"/>
      <c r="DQ259" s="33"/>
      <c r="DR259" s="33"/>
      <c r="DS259" s="33"/>
      <c r="DT259" s="33"/>
      <c r="DU259" s="33"/>
      <c r="DV259" s="33"/>
      <c r="DW259" s="33"/>
      <c r="DX259" s="33"/>
      <c r="DY259" s="33"/>
      <c r="DZ259" s="33"/>
      <c r="EA259" s="33"/>
      <c r="EB259" s="33"/>
      <c r="EC259" s="33"/>
      <c r="ED259" s="33"/>
      <c r="EE259" s="33"/>
      <c r="EF259" s="33"/>
      <c r="EG259" s="33"/>
      <c r="EH259" s="33"/>
      <c r="EI259" s="33"/>
      <c r="EJ259" s="33"/>
      <c r="EK259" s="33"/>
      <c r="EL259" s="33"/>
      <c r="EM259" s="33"/>
      <c r="EN259" s="33"/>
      <c r="EO259" s="33"/>
      <c r="EP259" s="33"/>
      <c r="EQ259" s="33"/>
      <c r="ER259" s="33"/>
      <c r="ES259" s="33"/>
      <c r="ET259" s="33"/>
      <c r="EU259" s="33"/>
      <c r="EV259" s="33"/>
      <c r="EW259" s="33"/>
      <c r="EX259" s="33"/>
      <c r="EY259" s="33"/>
      <c r="EZ259" s="33"/>
    </row>
    <row r="260" ht="15.75" customHeight="1">
      <c r="A260" s="20" t="s">
        <v>521</v>
      </c>
      <c r="B260" s="20"/>
      <c r="C260" s="22"/>
      <c r="D260" s="22"/>
      <c r="E260" s="22"/>
      <c r="F260" s="22"/>
      <c r="G260" s="22"/>
      <c r="H260" s="22"/>
      <c r="I260" s="22"/>
      <c r="J260" s="22"/>
      <c r="K260" s="23"/>
      <c r="L260" s="23"/>
      <c r="M260" s="23"/>
      <c r="N260" s="23"/>
      <c r="O260" s="22"/>
      <c r="P260" s="24"/>
      <c r="Q260" s="24"/>
      <c r="R260" s="20" t="s">
        <v>188</v>
      </c>
      <c r="S260" s="20" t="s">
        <v>189</v>
      </c>
      <c r="T260" s="20" t="s">
        <v>194</v>
      </c>
      <c r="U260" s="20" t="s">
        <v>189</v>
      </c>
      <c r="V260" s="22"/>
      <c r="W260" s="20" t="s">
        <v>166</v>
      </c>
      <c r="X260" s="20">
        <v>0.5</v>
      </c>
      <c r="Y260" s="20" t="s">
        <v>191</v>
      </c>
      <c r="Z260" s="20" t="s">
        <v>213</v>
      </c>
      <c r="AC260" s="44"/>
      <c r="AE260" s="110"/>
      <c r="AM260" s="22"/>
      <c r="AN260" s="22"/>
      <c r="AO260" s="43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W260" s="116"/>
      <c r="CX260" s="119"/>
      <c r="CY260" s="119"/>
      <c r="DJ260" s="33"/>
      <c r="DK260" s="33"/>
      <c r="DL260" s="33"/>
      <c r="DM260" s="33"/>
      <c r="DN260" s="33"/>
      <c r="DO260" s="33"/>
      <c r="DP260" s="33"/>
      <c r="DQ260" s="33"/>
      <c r="DR260" s="33"/>
      <c r="DS260" s="33"/>
      <c r="DT260" s="33"/>
      <c r="DU260" s="33"/>
      <c r="DV260" s="33"/>
      <c r="DW260" s="33"/>
      <c r="DX260" s="33"/>
      <c r="DY260" s="33"/>
      <c r="DZ260" s="33"/>
      <c r="EA260" s="33"/>
      <c r="EB260" s="33"/>
      <c r="EC260" s="33"/>
      <c r="ED260" s="33"/>
      <c r="EE260" s="33"/>
      <c r="EF260" s="33"/>
      <c r="EG260" s="33"/>
      <c r="EH260" s="33"/>
      <c r="EI260" s="33"/>
      <c r="EJ260" s="33"/>
      <c r="EK260" s="33"/>
      <c r="EL260" s="33"/>
      <c r="EM260" s="33"/>
      <c r="EN260" s="33"/>
      <c r="EO260" s="33"/>
      <c r="EP260" s="33"/>
      <c r="EQ260" s="33"/>
      <c r="ER260" s="33"/>
      <c r="ES260" s="33"/>
      <c r="ET260" s="33"/>
      <c r="EU260" s="33"/>
      <c r="EV260" s="33"/>
      <c r="EW260" s="33"/>
      <c r="EX260" s="33"/>
      <c r="EY260" s="33"/>
      <c r="EZ260" s="33"/>
      <c r="FA260" s="34"/>
      <c r="FB260" s="34"/>
      <c r="FC260" s="34"/>
      <c r="FD260" s="34"/>
      <c r="FE260" s="34"/>
      <c r="FF260" s="34"/>
      <c r="FG260" s="34"/>
      <c r="FH260" s="34"/>
      <c r="FI260" s="34"/>
      <c r="FJ260" s="34"/>
      <c r="FK260" s="34"/>
      <c r="FL260" s="34"/>
      <c r="FM260" s="34"/>
      <c r="FN260" s="34"/>
      <c r="FO260" s="34"/>
      <c r="FP260" s="34"/>
      <c r="FQ260" s="34"/>
      <c r="FR260" s="34"/>
      <c r="FS260" s="34"/>
      <c r="FT260" s="34"/>
      <c r="FU260" s="34"/>
      <c r="FV260" s="34"/>
      <c r="FW260" s="34"/>
      <c r="FX260" s="34"/>
      <c r="FY260" s="34"/>
      <c r="FZ260" s="34"/>
      <c r="GA260" s="34"/>
    </row>
    <row r="261" ht="15.75" customHeight="1">
      <c r="A261" s="20" t="s">
        <v>522</v>
      </c>
      <c r="B261" s="20"/>
      <c r="C261" s="22"/>
      <c r="D261" s="22"/>
      <c r="E261" s="22"/>
      <c r="F261" s="22"/>
      <c r="G261" s="22"/>
      <c r="H261" s="22"/>
      <c r="I261" s="22"/>
      <c r="J261" s="22"/>
      <c r="K261" s="23"/>
      <c r="L261" s="23"/>
      <c r="M261" s="23"/>
      <c r="N261" s="23"/>
      <c r="O261" s="22"/>
      <c r="P261" s="24"/>
      <c r="Q261" s="24" t="str">
        <f t="shared" ref="Q261:Q278" si="18">CONCATENATE(R261, "-grained, ", T261, ", ", S261," marble")</f>
        <v>very fine-grained, veined, white marble</v>
      </c>
      <c r="R261" s="22" t="s">
        <v>188</v>
      </c>
      <c r="S261" s="22" t="s">
        <v>189</v>
      </c>
      <c r="T261" s="22" t="s">
        <v>206</v>
      </c>
      <c r="U261" s="22" t="s">
        <v>374</v>
      </c>
      <c r="V261" s="22"/>
      <c r="W261" s="20" t="s">
        <v>166</v>
      </c>
      <c r="X261" s="22">
        <v>0.6</v>
      </c>
      <c r="Y261" s="22" t="s">
        <v>196</v>
      </c>
      <c r="Z261" s="22" t="s">
        <v>207</v>
      </c>
      <c r="AC261" s="44"/>
      <c r="AE261" s="110"/>
      <c r="AM261" s="22"/>
      <c r="AN261" s="22"/>
      <c r="AO261" s="43">
        <f t="shared" ref="AO261:AO278" si="19">SUM(AP261,AQ261,AR261)</f>
        <v>0</v>
      </c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W261" s="135"/>
      <c r="CX261" s="124"/>
      <c r="CY261" s="124"/>
      <c r="DJ261" s="33"/>
      <c r="DK261" s="33"/>
      <c r="DL261" s="33"/>
      <c r="DM261" s="33"/>
      <c r="DN261" s="33"/>
      <c r="DO261" s="33"/>
      <c r="DP261" s="33"/>
      <c r="DQ261" s="33"/>
      <c r="DR261" s="33"/>
      <c r="DS261" s="33"/>
      <c r="DT261" s="33"/>
      <c r="DU261" s="33"/>
      <c r="DV261" s="33"/>
      <c r="DW261" s="33"/>
      <c r="DX261" s="33"/>
      <c r="DY261" s="33"/>
      <c r="DZ261" s="33"/>
      <c r="EA261" s="33"/>
      <c r="EB261" s="33"/>
      <c r="EC261" s="33"/>
      <c r="ED261" s="33"/>
      <c r="EE261" s="33"/>
      <c r="EF261" s="33"/>
      <c r="EG261" s="33"/>
      <c r="EH261" s="33"/>
      <c r="EI261" s="33"/>
      <c r="EJ261" s="33"/>
      <c r="EK261" s="33"/>
      <c r="EL261" s="33"/>
      <c r="EM261" s="33"/>
      <c r="EN261" s="33"/>
      <c r="EO261" s="33"/>
      <c r="EP261" s="33"/>
      <c r="EQ261" s="33"/>
      <c r="ER261" s="33"/>
      <c r="ES261" s="33"/>
      <c r="ET261" s="33"/>
      <c r="EU261" s="33"/>
      <c r="EV261" s="33"/>
      <c r="EW261" s="33"/>
      <c r="EX261" s="33"/>
      <c r="EY261" s="33"/>
      <c r="EZ261" s="33"/>
      <c r="FA261" s="34"/>
      <c r="FB261" s="34"/>
      <c r="FC261" s="34"/>
      <c r="FD261" s="34"/>
      <c r="FE261" s="34"/>
      <c r="FF261" s="34"/>
      <c r="FG261" s="34"/>
      <c r="FH261" s="34"/>
      <c r="FI261" s="34"/>
      <c r="FJ261" s="34"/>
      <c r="FK261" s="34"/>
      <c r="FL261" s="34"/>
      <c r="FM261" s="34"/>
      <c r="FN261" s="34"/>
      <c r="FO261" s="34"/>
      <c r="FP261" s="34"/>
      <c r="FQ261" s="34"/>
      <c r="FR261" s="34"/>
      <c r="FS261" s="34"/>
      <c r="FT261" s="34"/>
      <c r="FU261" s="34"/>
      <c r="FV261" s="34"/>
      <c r="FW261" s="34"/>
      <c r="FX261" s="34"/>
      <c r="FY261" s="34"/>
      <c r="FZ261" s="34"/>
      <c r="GA261" s="34"/>
    </row>
    <row r="262" ht="15.75" customHeight="1">
      <c r="A262" s="20" t="s">
        <v>523</v>
      </c>
      <c r="B262" s="20"/>
      <c r="C262" s="22"/>
      <c r="D262" s="22"/>
      <c r="E262" s="22"/>
      <c r="F262" s="22"/>
      <c r="G262" s="22"/>
      <c r="H262" s="22"/>
      <c r="I262" s="22"/>
      <c r="J262" s="22"/>
      <c r="K262" s="23"/>
      <c r="L262" s="23"/>
      <c r="M262" s="23"/>
      <c r="N262" s="23"/>
      <c r="O262" s="22"/>
      <c r="P262" s="24"/>
      <c r="Q262" s="24" t="str">
        <f t="shared" si="18"/>
        <v>very fine-grained, homogeneous, white marble</v>
      </c>
      <c r="R262" s="22" t="s">
        <v>188</v>
      </c>
      <c r="S262" s="22" t="s">
        <v>189</v>
      </c>
      <c r="T262" s="22" t="s">
        <v>194</v>
      </c>
      <c r="U262" s="22"/>
      <c r="V262" s="22"/>
      <c r="W262" s="20" t="s">
        <v>166</v>
      </c>
      <c r="X262" s="22">
        <v>0.3</v>
      </c>
      <c r="Y262" s="22" t="s">
        <v>196</v>
      </c>
      <c r="Z262" s="22" t="s">
        <v>184</v>
      </c>
      <c r="AB262" s="106" t="s">
        <v>166</v>
      </c>
      <c r="AC262" s="51">
        <v>0.8</v>
      </c>
      <c r="AD262" s="106" t="s">
        <v>209</v>
      </c>
      <c r="AE262" s="107" t="s">
        <v>192</v>
      </c>
      <c r="AF262" s="106" t="s">
        <v>186</v>
      </c>
      <c r="AM262" s="22"/>
      <c r="AN262" s="22"/>
      <c r="AO262" s="43">
        <f t="shared" si="19"/>
        <v>0</v>
      </c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W262" s="116"/>
      <c r="CX262" s="118">
        <v>2.14</v>
      </c>
      <c r="CY262" s="118">
        <v>-1.97</v>
      </c>
      <c r="FA262" s="34"/>
      <c r="FB262" s="34"/>
      <c r="FC262" s="34"/>
      <c r="FD262" s="34"/>
      <c r="FE262" s="34"/>
      <c r="FF262" s="34"/>
      <c r="FG262" s="34"/>
      <c r="FH262" s="34"/>
      <c r="FI262" s="34"/>
      <c r="FJ262" s="34"/>
      <c r="FK262" s="34"/>
      <c r="FL262" s="34"/>
      <c r="FM262" s="34"/>
      <c r="FN262" s="34"/>
      <c r="FO262" s="34"/>
      <c r="FP262" s="34"/>
      <c r="FQ262" s="34"/>
      <c r="FR262" s="34"/>
      <c r="FS262" s="34"/>
      <c r="FT262" s="34"/>
      <c r="FU262" s="34"/>
      <c r="FV262" s="34"/>
      <c r="FW262" s="34"/>
      <c r="FX262" s="34"/>
      <c r="FY262" s="34"/>
      <c r="FZ262" s="34"/>
      <c r="GA262" s="34"/>
    </row>
    <row r="263" ht="15.75" customHeight="1">
      <c r="A263" s="20" t="s">
        <v>523</v>
      </c>
      <c r="B263" s="20"/>
      <c r="C263" s="44"/>
      <c r="D263" s="44"/>
      <c r="E263" s="44"/>
      <c r="F263" s="44"/>
      <c r="G263" s="44"/>
      <c r="H263" s="44"/>
      <c r="I263" s="44"/>
      <c r="J263" s="44"/>
      <c r="K263" s="100"/>
      <c r="L263" s="100"/>
      <c r="M263" s="100"/>
      <c r="N263" s="100"/>
      <c r="O263" s="44"/>
      <c r="P263" s="24"/>
      <c r="Q263" s="24" t="str">
        <f t="shared" si="18"/>
        <v>-grained, ,  marble</v>
      </c>
      <c r="R263" s="44"/>
      <c r="S263" s="44"/>
      <c r="T263" s="44"/>
      <c r="U263" s="44"/>
      <c r="V263" s="44"/>
      <c r="W263" s="44"/>
      <c r="X263" s="44"/>
      <c r="Y263" s="44"/>
      <c r="Z263" s="44"/>
      <c r="AC263" s="44"/>
      <c r="AE263" s="110"/>
      <c r="AM263" s="44"/>
      <c r="AN263" s="44"/>
      <c r="AO263" s="43">
        <f t="shared" si="19"/>
        <v>0</v>
      </c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  <c r="BB263" s="44"/>
      <c r="BC263" s="44"/>
      <c r="BD263" s="44"/>
      <c r="BE263" s="44"/>
      <c r="BF263" s="44"/>
      <c r="BG263" s="44"/>
      <c r="BH263" s="44"/>
      <c r="BI263" s="44"/>
      <c r="BJ263" s="44"/>
      <c r="BK263" s="44"/>
      <c r="BL263" s="44"/>
      <c r="BM263" s="44"/>
      <c r="BN263" s="44"/>
      <c r="BO263" s="44"/>
      <c r="BP263" s="44"/>
      <c r="BQ263" s="44"/>
      <c r="BR263" s="44"/>
      <c r="BS263" s="44"/>
      <c r="BT263" s="44"/>
      <c r="BU263" s="44"/>
      <c r="BV263" s="44"/>
      <c r="BW263" s="44"/>
      <c r="BX263" s="44"/>
      <c r="BY263" s="44"/>
      <c r="BZ263" s="44"/>
      <c r="CA263" s="44"/>
      <c r="CB263" s="44"/>
      <c r="CC263" s="44"/>
      <c r="CD263" s="44"/>
      <c r="CW263" s="132" t="s">
        <v>166</v>
      </c>
      <c r="CX263" s="142"/>
      <c r="CY263" s="47"/>
    </row>
    <row r="264" ht="15.75" customHeight="1">
      <c r="A264" s="20" t="s">
        <v>524</v>
      </c>
      <c r="B264" s="20"/>
      <c r="C264" s="22"/>
      <c r="D264" s="22"/>
      <c r="E264" s="22"/>
      <c r="F264" s="22"/>
      <c r="G264" s="22"/>
      <c r="H264" s="22"/>
      <c r="I264" s="22"/>
      <c r="J264" s="22"/>
      <c r="K264" s="23"/>
      <c r="L264" s="23"/>
      <c r="M264" s="23"/>
      <c r="N264" s="23"/>
      <c r="O264" s="22"/>
      <c r="P264" s="24"/>
      <c r="Q264" s="24" t="str">
        <f t="shared" si="18"/>
        <v>very fine-grained, homogeneous, white marble</v>
      </c>
      <c r="R264" s="22" t="s">
        <v>188</v>
      </c>
      <c r="S264" s="22" t="s">
        <v>189</v>
      </c>
      <c r="T264" s="22" t="s">
        <v>194</v>
      </c>
      <c r="U264" s="22"/>
      <c r="V264" s="22"/>
      <c r="W264" s="20" t="s">
        <v>166</v>
      </c>
      <c r="X264" s="22">
        <v>0.2</v>
      </c>
      <c r="Y264" s="22" t="s">
        <v>196</v>
      </c>
      <c r="Z264" s="22" t="s">
        <v>184</v>
      </c>
      <c r="AC264" s="44"/>
      <c r="AE264" s="110"/>
      <c r="AM264" s="22"/>
      <c r="AN264" s="22"/>
      <c r="AO264" s="43">
        <f t="shared" si="19"/>
        <v>0</v>
      </c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  <c r="CD264" s="22"/>
      <c r="CW264" s="116"/>
      <c r="CX264" s="47"/>
      <c r="CY264" s="47"/>
    </row>
    <row r="265" ht="15.75" customHeight="1">
      <c r="A265" s="20" t="s">
        <v>525</v>
      </c>
      <c r="B265" s="20"/>
      <c r="C265" s="22"/>
      <c r="D265" s="22"/>
      <c r="E265" s="22"/>
      <c r="F265" s="22"/>
      <c r="G265" s="22"/>
      <c r="H265" s="22"/>
      <c r="I265" s="22"/>
      <c r="J265" s="22"/>
      <c r="K265" s="23"/>
      <c r="L265" s="23"/>
      <c r="M265" s="23"/>
      <c r="N265" s="23"/>
      <c r="O265" s="22"/>
      <c r="P265" s="24"/>
      <c r="Q265" s="24" t="str">
        <f t="shared" si="18"/>
        <v>very fine-grained, veined, white marble</v>
      </c>
      <c r="R265" s="22" t="s">
        <v>188</v>
      </c>
      <c r="S265" s="22" t="s">
        <v>189</v>
      </c>
      <c r="T265" s="22" t="s">
        <v>206</v>
      </c>
      <c r="U265" s="22" t="s">
        <v>428</v>
      </c>
      <c r="V265" s="22"/>
      <c r="W265" s="20" t="s">
        <v>166</v>
      </c>
      <c r="X265" s="22">
        <v>0.4</v>
      </c>
      <c r="Y265" s="22" t="s">
        <v>196</v>
      </c>
      <c r="Z265" s="22" t="s">
        <v>198</v>
      </c>
      <c r="AB265" s="106" t="s">
        <v>166</v>
      </c>
      <c r="AC265" s="51">
        <v>0.5</v>
      </c>
      <c r="AD265" s="106" t="s">
        <v>209</v>
      </c>
      <c r="AE265" s="107" t="s">
        <v>213</v>
      </c>
      <c r="AF265" s="106" t="s">
        <v>186</v>
      </c>
      <c r="AM265" s="22"/>
      <c r="AN265" s="22"/>
      <c r="AO265" s="43">
        <f t="shared" si="19"/>
        <v>0</v>
      </c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W265" s="116"/>
      <c r="CX265" s="47"/>
      <c r="CY265" s="47"/>
      <c r="DJ265" s="44"/>
      <c r="FA265" s="40"/>
      <c r="FB265" s="40"/>
      <c r="FC265" s="40"/>
      <c r="FD265" s="40"/>
      <c r="FE265" s="40"/>
      <c r="FF265" s="40"/>
      <c r="FG265" s="40"/>
      <c r="FH265" s="40"/>
      <c r="FI265" s="40"/>
      <c r="FJ265" s="40"/>
      <c r="FK265" s="40"/>
      <c r="FL265" s="40"/>
      <c r="FM265" s="40"/>
      <c r="FN265" s="40"/>
      <c r="FO265" s="40"/>
      <c r="FP265" s="40"/>
      <c r="FQ265" s="40"/>
      <c r="FR265" s="40"/>
      <c r="FS265" s="40"/>
      <c r="FT265" s="40"/>
      <c r="FU265" s="40"/>
      <c r="FV265" s="40"/>
      <c r="FW265" s="40"/>
      <c r="FX265" s="40"/>
      <c r="FY265" s="40"/>
      <c r="FZ265" s="40"/>
      <c r="GA265" s="40"/>
    </row>
    <row r="266" ht="15.75" customHeight="1">
      <c r="A266" s="20" t="s">
        <v>526</v>
      </c>
      <c r="B266" s="20"/>
      <c r="C266" s="22"/>
      <c r="D266" s="22"/>
      <c r="E266" s="22"/>
      <c r="F266" s="22"/>
      <c r="G266" s="22"/>
      <c r="H266" s="22"/>
      <c r="I266" s="22"/>
      <c r="J266" s="22"/>
      <c r="K266" s="23"/>
      <c r="L266" s="23"/>
      <c r="M266" s="23"/>
      <c r="N266" s="23"/>
      <c r="O266" s="22"/>
      <c r="P266" s="24"/>
      <c r="Q266" s="24" t="str">
        <f t="shared" si="18"/>
        <v>very fine-grained, veined, white marble</v>
      </c>
      <c r="R266" s="22" t="s">
        <v>188</v>
      </c>
      <c r="S266" s="22" t="s">
        <v>189</v>
      </c>
      <c r="T266" s="22" t="s">
        <v>206</v>
      </c>
      <c r="U266" s="22" t="s">
        <v>374</v>
      </c>
      <c r="V266" s="22"/>
      <c r="W266" s="20" t="s">
        <v>166</v>
      </c>
      <c r="X266" s="22">
        <v>0.3</v>
      </c>
      <c r="Y266" s="22" t="s">
        <v>196</v>
      </c>
      <c r="Z266" s="22"/>
      <c r="AB266" s="106" t="s">
        <v>166</v>
      </c>
      <c r="AC266" s="51">
        <v>0.5</v>
      </c>
      <c r="AD266" s="106" t="s">
        <v>183</v>
      </c>
      <c r="AE266" s="107" t="s">
        <v>213</v>
      </c>
      <c r="AF266" s="106" t="s">
        <v>186</v>
      </c>
      <c r="AM266" s="22"/>
      <c r="AN266" s="22"/>
      <c r="AO266" s="43">
        <f t="shared" si="19"/>
        <v>0</v>
      </c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W266" s="116"/>
      <c r="CX266" s="47"/>
      <c r="CY266" s="47"/>
      <c r="DJ266" s="44"/>
      <c r="FA266" s="40"/>
      <c r="FB266" s="40"/>
      <c r="FC266" s="40"/>
      <c r="FD266" s="40"/>
      <c r="FE266" s="40"/>
      <c r="FF266" s="40"/>
      <c r="FG266" s="40"/>
      <c r="FH266" s="40"/>
      <c r="FI266" s="40"/>
      <c r="FJ266" s="40"/>
      <c r="FK266" s="40"/>
      <c r="FL266" s="40"/>
      <c r="FM266" s="40"/>
      <c r="FN266" s="40"/>
      <c r="FO266" s="40"/>
      <c r="FP266" s="40"/>
      <c r="FQ266" s="40"/>
      <c r="FR266" s="40"/>
      <c r="FS266" s="40"/>
      <c r="FT266" s="40"/>
      <c r="FU266" s="40"/>
      <c r="FV266" s="40"/>
      <c r="FW266" s="40"/>
      <c r="FX266" s="40"/>
      <c r="FY266" s="40"/>
      <c r="FZ266" s="40"/>
      <c r="GA266" s="40"/>
    </row>
    <row r="267" ht="15.75" customHeight="1">
      <c r="A267" s="20" t="s">
        <v>527</v>
      </c>
      <c r="B267" s="20"/>
      <c r="C267" s="22"/>
      <c r="D267" s="22"/>
      <c r="E267" s="22"/>
      <c r="F267" s="22"/>
      <c r="G267" s="22"/>
      <c r="H267" s="22"/>
      <c r="I267" s="22"/>
      <c r="J267" s="22"/>
      <c r="K267" s="23"/>
      <c r="L267" s="23"/>
      <c r="M267" s="23"/>
      <c r="N267" s="23"/>
      <c r="O267" s="22"/>
      <c r="P267" s="24"/>
      <c r="Q267" s="24" t="str">
        <f t="shared" si="18"/>
        <v>very fine-grained, homogeneous, white marble</v>
      </c>
      <c r="R267" s="22" t="s">
        <v>188</v>
      </c>
      <c r="S267" s="22" t="s">
        <v>189</v>
      </c>
      <c r="T267" s="22" t="s">
        <v>194</v>
      </c>
      <c r="U267" s="22"/>
      <c r="V267" s="22"/>
      <c r="W267" s="20" t="s">
        <v>166</v>
      </c>
      <c r="X267" s="22">
        <v>0.4</v>
      </c>
      <c r="Y267" s="22" t="s">
        <v>196</v>
      </c>
      <c r="Z267" s="22" t="s">
        <v>213</v>
      </c>
      <c r="AB267" s="106" t="s">
        <v>166</v>
      </c>
      <c r="AC267" s="51">
        <v>0.6</v>
      </c>
      <c r="AD267" s="106" t="s">
        <v>196</v>
      </c>
      <c r="AE267" s="107" t="s">
        <v>207</v>
      </c>
      <c r="AF267" s="106" t="s">
        <v>186</v>
      </c>
      <c r="AM267" s="22"/>
      <c r="AN267" s="22"/>
      <c r="AO267" s="43">
        <f t="shared" si="19"/>
        <v>0</v>
      </c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W267" s="116"/>
      <c r="CX267" s="47"/>
      <c r="CY267" s="47"/>
      <c r="DJ267" s="44"/>
      <c r="FA267" s="33"/>
      <c r="FB267" s="33"/>
      <c r="FC267" s="33"/>
      <c r="FD267" s="33"/>
      <c r="FE267" s="33"/>
      <c r="FF267" s="33"/>
      <c r="FG267" s="33"/>
      <c r="FH267" s="33"/>
      <c r="FI267" s="33"/>
      <c r="FJ267" s="33"/>
      <c r="FK267" s="33"/>
      <c r="FL267" s="33"/>
      <c r="FM267" s="33"/>
      <c r="FN267" s="33"/>
      <c r="FO267" s="33"/>
      <c r="FP267" s="33"/>
      <c r="FQ267" s="33"/>
      <c r="FR267" s="33"/>
      <c r="FS267" s="33"/>
      <c r="FT267" s="33"/>
      <c r="FU267" s="33"/>
      <c r="FV267" s="33"/>
      <c r="FW267" s="33"/>
      <c r="FX267" s="33"/>
      <c r="FY267" s="33"/>
      <c r="FZ267" s="33"/>
      <c r="GA267" s="33"/>
    </row>
    <row r="268" ht="15.75" customHeight="1">
      <c r="A268" s="20" t="s">
        <v>528</v>
      </c>
      <c r="B268" s="20"/>
      <c r="C268" s="22"/>
      <c r="D268" s="22"/>
      <c r="E268" s="22"/>
      <c r="F268" s="22"/>
      <c r="G268" s="22"/>
      <c r="H268" s="22"/>
      <c r="I268" s="22"/>
      <c r="J268" s="22"/>
      <c r="K268" s="23"/>
      <c r="L268" s="23"/>
      <c r="M268" s="23"/>
      <c r="N268" s="23"/>
      <c r="O268" s="22"/>
      <c r="P268" s="24"/>
      <c r="Q268" s="24" t="str">
        <f t="shared" si="18"/>
        <v>very fine-grained, veined, grey marble</v>
      </c>
      <c r="R268" s="22" t="s">
        <v>188</v>
      </c>
      <c r="S268" s="22" t="s">
        <v>181</v>
      </c>
      <c r="T268" s="22" t="s">
        <v>206</v>
      </c>
      <c r="U268" s="22" t="s">
        <v>181</v>
      </c>
      <c r="V268" s="22"/>
      <c r="W268" s="20" t="s">
        <v>166</v>
      </c>
      <c r="X268" s="22">
        <v>0.5</v>
      </c>
      <c r="Y268" s="22" t="s">
        <v>209</v>
      </c>
      <c r="Z268" s="22" t="s">
        <v>213</v>
      </c>
      <c r="AC268" s="44"/>
      <c r="AE268" s="110"/>
      <c r="AM268" s="22"/>
      <c r="AN268" s="22"/>
      <c r="AO268" s="43">
        <f t="shared" si="19"/>
        <v>0</v>
      </c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W268" s="116"/>
      <c r="CX268" s="47"/>
      <c r="CY268" s="47"/>
      <c r="DJ268" s="44"/>
      <c r="FA268" s="33"/>
      <c r="FB268" s="33"/>
      <c r="FC268" s="33"/>
      <c r="FD268" s="33"/>
      <c r="FE268" s="33"/>
      <c r="FF268" s="33"/>
      <c r="FG268" s="33"/>
      <c r="FH268" s="33"/>
      <c r="FI268" s="33"/>
      <c r="FJ268" s="33"/>
      <c r="FK268" s="33"/>
      <c r="FL268" s="33"/>
      <c r="FM268" s="33"/>
      <c r="FN268" s="33"/>
      <c r="FO268" s="33"/>
      <c r="FP268" s="33"/>
      <c r="FQ268" s="33"/>
      <c r="FR268" s="33"/>
      <c r="FS268" s="33"/>
      <c r="FT268" s="33"/>
      <c r="FU268" s="33"/>
      <c r="FV268" s="33"/>
      <c r="FW268" s="33"/>
      <c r="FX268" s="33"/>
      <c r="FY268" s="33"/>
      <c r="FZ268" s="33"/>
      <c r="GA268" s="33"/>
    </row>
    <row r="269" ht="15.75" customHeight="1">
      <c r="A269" s="20" t="s">
        <v>529</v>
      </c>
      <c r="B269" s="20"/>
      <c r="C269" s="22"/>
      <c r="D269" s="22"/>
      <c r="E269" s="22"/>
      <c r="F269" s="22"/>
      <c r="G269" s="22"/>
      <c r="H269" s="22"/>
      <c r="I269" s="22"/>
      <c r="J269" s="22"/>
      <c r="K269" s="23"/>
      <c r="L269" s="23"/>
      <c r="M269" s="23"/>
      <c r="N269" s="23"/>
      <c r="O269" s="22"/>
      <c r="P269" s="24"/>
      <c r="Q269" s="24" t="str">
        <f t="shared" si="18"/>
        <v>very fine-grained, banded, white marble</v>
      </c>
      <c r="R269" s="22" t="s">
        <v>188</v>
      </c>
      <c r="S269" s="20" t="s">
        <v>189</v>
      </c>
      <c r="T269" s="20" t="s">
        <v>182</v>
      </c>
      <c r="U269" s="20" t="s">
        <v>181</v>
      </c>
      <c r="V269" s="22"/>
      <c r="W269" s="20" t="s">
        <v>166</v>
      </c>
      <c r="X269" s="20">
        <v>0.5</v>
      </c>
      <c r="Y269" s="20" t="s">
        <v>209</v>
      </c>
      <c r="Z269" s="20" t="s">
        <v>198</v>
      </c>
      <c r="AB269" s="106" t="s">
        <v>166</v>
      </c>
      <c r="AC269" s="51">
        <v>0.8</v>
      </c>
      <c r="AD269" s="106" t="s">
        <v>183</v>
      </c>
      <c r="AE269" s="107" t="s">
        <v>198</v>
      </c>
      <c r="AK269" s="106" t="s">
        <v>186</v>
      </c>
      <c r="AM269" s="22"/>
      <c r="AN269" s="22"/>
      <c r="AO269" s="43">
        <f t="shared" si="19"/>
        <v>0</v>
      </c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W269" s="132" t="s">
        <v>166</v>
      </c>
      <c r="CX269" s="118">
        <v>2.65</v>
      </c>
      <c r="CY269" s="118">
        <v>-8.59</v>
      </c>
      <c r="DJ269" s="147"/>
      <c r="DK269" s="63"/>
      <c r="DL269" s="63"/>
      <c r="DM269" s="63"/>
      <c r="DN269" s="63"/>
      <c r="DO269" s="63"/>
      <c r="DP269" s="63"/>
      <c r="DQ269" s="63"/>
      <c r="DR269" s="63"/>
      <c r="DS269" s="63"/>
      <c r="DT269" s="63"/>
      <c r="DU269" s="63"/>
      <c r="DV269" s="63"/>
      <c r="DW269" s="63"/>
      <c r="DX269" s="63"/>
      <c r="DY269" s="63"/>
      <c r="DZ269" s="63"/>
      <c r="EA269" s="63"/>
      <c r="EB269" s="63"/>
      <c r="EC269" s="63"/>
      <c r="ED269" s="63"/>
      <c r="EE269" s="63"/>
      <c r="EF269" s="63"/>
      <c r="EG269" s="63"/>
      <c r="EH269" s="63"/>
      <c r="EI269" s="63"/>
      <c r="EJ269" s="63"/>
      <c r="EK269" s="63"/>
      <c r="EL269" s="63"/>
      <c r="EM269" s="63"/>
      <c r="EN269" s="63"/>
      <c r="EO269" s="63"/>
      <c r="EP269" s="63"/>
      <c r="EQ269" s="63"/>
      <c r="ER269" s="63"/>
      <c r="ES269" s="63"/>
      <c r="ET269" s="63"/>
      <c r="EU269" s="63"/>
      <c r="EV269" s="63"/>
      <c r="EW269" s="63"/>
      <c r="EX269" s="63"/>
      <c r="EY269" s="63"/>
      <c r="EZ269" s="33"/>
      <c r="FA269" s="33"/>
      <c r="FB269" s="33"/>
      <c r="FC269" s="33"/>
      <c r="FD269" s="33"/>
      <c r="FE269" s="33"/>
      <c r="FF269" s="33"/>
      <c r="FG269" s="33"/>
      <c r="FH269" s="33"/>
      <c r="FI269" s="33"/>
      <c r="FJ269" s="33"/>
      <c r="FK269" s="33"/>
      <c r="FL269" s="33"/>
      <c r="FM269" s="33"/>
      <c r="FN269" s="33"/>
      <c r="FO269" s="33"/>
      <c r="FP269" s="33"/>
      <c r="FQ269" s="33"/>
      <c r="FR269" s="33"/>
      <c r="FS269" s="33"/>
      <c r="FT269" s="33"/>
      <c r="FU269" s="33"/>
      <c r="FV269" s="33"/>
      <c r="FW269" s="33"/>
      <c r="FX269" s="33"/>
      <c r="FY269" s="33"/>
      <c r="FZ269" s="33"/>
      <c r="GA269" s="33"/>
    </row>
    <row r="270" ht="15.75" customHeight="1">
      <c r="A270" s="20" t="s">
        <v>530</v>
      </c>
      <c r="B270" s="20"/>
      <c r="C270" s="22"/>
      <c r="D270" s="22"/>
      <c r="E270" s="22"/>
      <c r="F270" s="22"/>
      <c r="G270" s="22"/>
      <c r="H270" s="22"/>
      <c r="I270" s="22"/>
      <c r="J270" s="22"/>
      <c r="K270" s="23"/>
      <c r="L270" s="23"/>
      <c r="M270" s="23"/>
      <c r="N270" s="23"/>
      <c r="O270" s="22"/>
      <c r="P270" s="24"/>
      <c r="Q270" s="24" t="str">
        <f t="shared" si="18"/>
        <v>very fine-grained, homogeneous, white marble</v>
      </c>
      <c r="R270" s="22" t="s">
        <v>188</v>
      </c>
      <c r="S270" s="20" t="s">
        <v>189</v>
      </c>
      <c r="T270" s="20" t="s">
        <v>194</v>
      </c>
      <c r="U270" s="22"/>
      <c r="V270" s="22"/>
      <c r="W270" s="20" t="s">
        <v>166</v>
      </c>
      <c r="X270" s="20">
        <v>0.4</v>
      </c>
      <c r="Y270" s="20" t="s">
        <v>191</v>
      </c>
      <c r="Z270" s="20" t="s">
        <v>198</v>
      </c>
      <c r="AB270" s="106" t="s">
        <v>166</v>
      </c>
      <c r="AC270" s="51">
        <v>0.8</v>
      </c>
      <c r="AD270" s="106" t="s">
        <v>183</v>
      </c>
      <c r="AE270" s="107" t="s">
        <v>213</v>
      </c>
      <c r="AF270" s="106" t="s">
        <v>186</v>
      </c>
      <c r="AM270" s="22"/>
      <c r="AN270" s="22"/>
      <c r="AO270" s="43">
        <f t="shared" si="19"/>
        <v>0</v>
      </c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W270" s="116"/>
      <c r="CX270" s="47"/>
      <c r="CY270" s="47"/>
      <c r="DJ270" s="147"/>
      <c r="DK270" s="63"/>
      <c r="DL270" s="63"/>
      <c r="DM270" s="63"/>
      <c r="DN270" s="63"/>
      <c r="DO270" s="63"/>
      <c r="DP270" s="63"/>
      <c r="DQ270" s="63"/>
      <c r="DR270" s="63"/>
      <c r="DS270" s="63"/>
      <c r="DT270" s="63"/>
      <c r="DU270" s="63"/>
      <c r="DV270" s="63"/>
      <c r="DW270" s="63"/>
      <c r="DX270" s="63"/>
      <c r="DY270" s="63"/>
      <c r="DZ270" s="63"/>
      <c r="EA270" s="63"/>
      <c r="EB270" s="63"/>
      <c r="EC270" s="63"/>
      <c r="ED270" s="63"/>
      <c r="EE270" s="63"/>
      <c r="EF270" s="63"/>
      <c r="EG270" s="63"/>
      <c r="EH270" s="63"/>
      <c r="EI270" s="63"/>
      <c r="EJ270" s="63"/>
      <c r="EK270" s="63"/>
      <c r="EL270" s="63"/>
      <c r="EM270" s="63"/>
      <c r="EN270" s="63"/>
      <c r="EO270" s="63"/>
      <c r="EP270" s="63"/>
      <c r="EQ270" s="63"/>
      <c r="ER270" s="63"/>
      <c r="ES270" s="63"/>
      <c r="ET270" s="63"/>
      <c r="EU270" s="162"/>
      <c r="EV270" s="63"/>
      <c r="EW270" s="63"/>
      <c r="EX270" s="63"/>
      <c r="EY270" s="63"/>
      <c r="EZ270" s="40"/>
    </row>
    <row r="271" ht="15.75" customHeight="1">
      <c r="A271" s="20" t="s">
        <v>531</v>
      </c>
      <c r="B271" s="20"/>
      <c r="C271" s="22"/>
      <c r="D271" s="22"/>
      <c r="E271" s="22"/>
      <c r="F271" s="22"/>
      <c r="G271" s="22"/>
      <c r="H271" s="22"/>
      <c r="I271" s="22"/>
      <c r="J271" s="22"/>
      <c r="K271" s="23"/>
      <c r="L271" s="23"/>
      <c r="M271" s="23"/>
      <c r="N271" s="23"/>
      <c r="O271" s="22"/>
      <c r="P271" s="24"/>
      <c r="Q271" s="24" t="str">
        <f t="shared" si="18"/>
        <v>very fine-grained, homogeneous, white marble</v>
      </c>
      <c r="R271" s="22" t="s">
        <v>188</v>
      </c>
      <c r="S271" s="20" t="s">
        <v>189</v>
      </c>
      <c r="T271" s="20" t="s">
        <v>194</v>
      </c>
      <c r="U271" s="22"/>
      <c r="V271" s="22"/>
      <c r="W271" s="20" t="s">
        <v>166</v>
      </c>
      <c r="X271" s="20">
        <v>0.8</v>
      </c>
      <c r="Y271" s="20" t="s">
        <v>191</v>
      </c>
      <c r="Z271" s="22"/>
      <c r="AC271" s="44"/>
      <c r="AE271" s="110"/>
      <c r="AM271" s="22"/>
      <c r="AN271" s="22"/>
      <c r="AO271" s="43">
        <f t="shared" si="19"/>
        <v>0</v>
      </c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W271" s="116"/>
      <c r="CX271" s="47"/>
      <c r="CY271" s="47"/>
      <c r="DJ271" s="134"/>
      <c r="DK271" s="63"/>
      <c r="DL271" s="63"/>
      <c r="DM271" s="63"/>
      <c r="DN271" s="63"/>
      <c r="DO271" s="63"/>
      <c r="DP271" s="63"/>
      <c r="DQ271" s="63"/>
      <c r="DR271" s="63"/>
      <c r="DS271" s="63"/>
      <c r="DT271" s="63"/>
      <c r="DU271" s="63"/>
      <c r="DV271" s="63"/>
      <c r="DW271" s="63"/>
      <c r="DX271" s="63"/>
      <c r="DY271" s="63"/>
      <c r="DZ271" s="63"/>
      <c r="EA271" s="63"/>
      <c r="EB271" s="63"/>
      <c r="EC271" s="63"/>
      <c r="ED271" s="63"/>
      <c r="EE271" s="63"/>
      <c r="EF271" s="63"/>
      <c r="EG271" s="63"/>
      <c r="EH271" s="63"/>
      <c r="EI271" s="63"/>
      <c r="EJ271" s="63"/>
      <c r="EK271" s="63"/>
      <c r="EL271" s="63"/>
      <c r="EM271" s="63"/>
      <c r="EN271" s="63"/>
      <c r="EO271" s="63"/>
      <c r="EP271" s="63"/>
      <c r="EQ271" s="63"/>
      <c r="ER271" s="63"/>
      <c r="ES271" s="63"/>
      <c r="ET271" s="63"/>
      <c r="EU271" s="63"/>
      <c r="EV271" s="63"/>
      <c r="EW271" s="63"/>
      <c r="EX271" s="63"/>
      <c r="EY271" s="63"/>
      <c r="EZ271" s="40"/>
    </row>
    <row r="272" ht="15.75" customHeight="1">
      <c r="A272" s="20" t="s">
        <v>532</v>
      </c>
      <c r="B272" s="20"/>
      <c r="C272" s="22"/>
      <c r="D272" s="22"/>
      <c r="E272" s="22"/>
      <c r="F272" s="22"/>
      <c r="G272" s="22"/>
      <c r="H272" s="22"/>
      <c r="I272" s="22"/>
      <c r="J272" s="22"/>
      <c r="K272" s="23"/>
      <c r="L272" s="23"/>
      <c r="M272" s="23"/>
      <c r="N272" s="23"/>
      <c r="O272" s="22"/>
      <c r="P272" s="24"/>
      <c r="Q272" s="24" t="str">
        <f t="shared" si="18"/>
        <v>fine-grained, banded and veined, white marble</v>
      </c>
      <c r="R272" s="20" t="s">
        <v>180</v>
      </c>
      <c r="S272" s="20" t="s">
        <v>189</v>
      </c>
      <c r="T272" s="20" t="s">
        <v>243</v>
      </c>
      <c r="U272" s="20" t="s">
        <v>181</v>
      </c>
      <c r="V272" s="22"/>
      <c r="W272" s="20" t="s">
        <v>166</v>
      </c>
      <c r="X272" s="20">
        <v>1.5</v>
      </c>
      <c r="Y272" s="20" t="s">
        <v>191</v>
      </c>
      <c r="Z272" s="20" t="s">
        <v>198</v>
      </c>
      <c r="AE272" s="110"/>
      <c r="AM272" s="22"/>
      <c r="AN272" s="22"/>
      <c r="AO272" s="43">
        <f t="shared" si="19"/>
        <v>0</v>
      </c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  <c r="CD272" s="22"/>
      <c r="CW272" s="116"/>
      <c r="CX272" s="47"/>
      <c r="CY272" s="47"/>
      <c r="DJ272" s="134"/>
      <c r="DK272" s="63"/>
      <c r="DL272" s="63"/>
      <c r="DM272" s="63"/>
      <c r="DN272" s="63"/>
      <c r="DO272" s="63"/>
      <c r="DP272" s="63"/>
      <c r="DQ272" s="63"/>
      <c r="DR272" s="63"/>
      <c r="DS272" s="63"/>
      <c r="DT272" s="63"/>
      <c r="DU272" s="63"/>
      <c r="DV272" s="63"/>
      <c r="DW272" s="63"/>
      <c r="DX272" s="63"/>
      <c r="DY272" s="63"/>
      <c r="DZ272" s="63"/>
      <c r="EA272" s="63"/>
      <c r="EB272" s="63"/>
      <c r="EC272" s="63"/>
      <c r="ED272" s="63"/>
      <c r="EE272" s="63"/>
      <c r="EF272" s="63"/>
      <c r="EG272" s="63"/>
      <c r="EH272" s="63"/>
      <c r="EI272" s="63"/>
      <c r="EJ272" s="63"/>
      <c r="EK272" s="63"/>
      <c r="EL272" s="63"/>
      <c r="EM272" s="63"/>
      <c r="EN272" s="63"/>
      <c r="EO272" s="63"/>
      <c r="EP272" s="63"/>
      <c r="EQ272" s="63"/>
      <c r="ER272" s="63"/>
      <c r="ES272" s="63"/>
      <c r="ET272" s="63"/>
      <c r="EU272" s="63"/>
      <c r="EV272" s="63"/>
      <c r="EW272" s="63"/>
      <c r="EX272" s="63"/>
      <c r="EY272" s="63"/>
      <c r="EZ272" s="33"/>
    </row>
    <row r="273" ht="15.75" customHeight="1">
      <c r="A273" s="20" t="s">
        <v>533</v>
      </c>
      <c r="B273" s="20"/>
      <c r="C273" s="22"/>
      <c r="D273" s="22"/>
      <c r="E273" s="22"/>
      <c r="F273" s="22"/>
      <c r="G273" s="22"/>
      <c r="H273" s="22"/>
      <c r="I273" s="22"/>
      <c r="J273" s="22"/>
      <c r="K273" s="23"/>
      <c r="L273" s="23"/>
      <c r="M273" s="23"/>
      <c r="N273" s="23"/>
      <c r="O273" s="22"/>
      <c r="P273" s="24"/>
      <c r="Q273" s="24" t="str">
        <f t="shared" si="18"/>
        <v>very fine-grained, banded, white marble</v>
      </c>
      <c r="R273" s="20" t="s">
        <v>188</v>
      </c>
      <c r="S273" s="20" t="s">
        <v>189</v>
      </c>
      <c r="T273" s="20" t="s">
        <v>182</v>
      </c>
      <c r="U273" s="20" t="s">
        <v>181</v>
      </c>
      <c r="V273" s="22"/>
      <c r="W273" s="20" t="s">
        <v>166</v>
      </c>
      <c r="X273" s="20">
        <v>0.3</v>
      </c>
      <c r="Y273" s="20" t="s">
        <v>191</v>
      </c>
      <c r="Z273" s="20" t="s">
        <v>198</v>
      </c>
      <c r="AE273" s="110"/>
      <c r="AM273" s="22"/>
      <c r="AN273" s="22"/>
      <c r="AO273" s="43">
        <f t="shared" si="19"/>
        <v>0</v>
      </c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2"/>
      <c r="CW273" s="116"/>
      <c r="CX273" s="47"/>
      <c r="CY273" s="47"/>
      <c r="DJ273" s="33"/>
      <c r="DK273" s="33"/>
      <c r="DL273" s="33"/>
      <c r="DM273" s="33"/>
      <c r="DN273" s="33"/>
      <c r="DO273" s="33"/>
      <c r="DP273" s="33"/>
      <c r="DQ273" s="33"/>
      <c r="DR273" s="33"/>
      <c r="DS273" s="33"/>
      <c r="DT273" s="33"/>
      <c r="DU273" s="33"/>
      <c r="DV273" s="33"/>
      <c r="DW273" s="33"/>
      <c r="DX273" s="33"/>
      <c r="DY273" s="33"/>
      <c r="DZ273" s="33"/>
      <c r="EA273" s="33"/>
      <c r="EB273" s="33"/>
      <c r="EC273" s="33"/>
      <c r="ED273" s="33"/>
      <c r="EE273" s="33"/>
      <c r="EF273" s="33"/>
      <c r="EG273" s="33"/>
      <c r="EH273" s="33"/>
      <c r="EI273" s="33"/>
      <c r="EJ273" s="33"/>
      <c r="EK273" s="33"/>
      <c r="EL273" s="33"/>
      <c r="EM273" s="33"/>
      <c r="EN273" s="33"/>
      <c r="EO273" s="33"/>
      <c r="EP273" s="33"/>
      <c r="EQ273" s="33"/>
      <c r="ER273" s="33"/>
      <c r="ES273" s="33"/>
      <c r="ET273" s="33"/>
      <c r="EU273" s="33"/>
      <c r="EV273" s="33"/>
      <c r="EW273" s="33"/>
      <c r="EX273" s="33"/>
      <c r="EY273" s="33"/>
      <c r="EZ273" s="33"/>
    </row>
    <row r="274" ht="15.75" customHeight="1">
      <c r="A274" s="20" t="s">
        <v>534</v>
      </c>
      <c r="B274" s="20"/>
      <c r="C274" s="22"/>
      <c r="D274" s="22"/>
      <c r="E274" s="22"/>
      <c r="F274" s="22"/>
      <c r="G274" s="22"/>
      <c r="H274" s="22"/>
      <c r="I274" s="22"/>
      <c r="J274" s="22"/>
      <c r="K274" s="23"/>
      <c r="L274" s="23"/>
      <c r="M274" s="23"/>
      <c r="N274" s="23"/>
      <c r="O274" s="22"/>
      <c r="P274" s="24"/>
      <c r="Q274" s="24" t="str">
        <f t="shared" si="18"/>
        <v>fine-grained, banded, grey marble</v>
      </c>
      <c r="R274" s="20" t="s">
        <v>180</v>
      </c>
      <c r="S274" s="20" t="s">
        <v>181</v>
      </c>
      <c r="T274" s="20" t="s">
        <v>182</v>
      </c>
      <c r="U274" s="20" t="s">
        <v>181</v>
      </c>
      <c r="V274" s="22"/>
      <c r="W274" s="20" t="s">
        <v>166</v>
      </c>
      <c r="X274" s="20">
        <v>2.0</v>
      </c>
      <c r="Y274" s="20" t="s">
        <v>183</v>
      </c>
      <c r="Z274" s="20" t="s">
        <v>213</v>
      </c>
      <c r="AE274" s="110"/>
      <c r="AM274" s="22"/>
      <c r="AN274" s="22"/>
      <c r="AO274" s="43">
        <f t="shared" si="19"/>
        <v>0</v>
      </c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W274" s="116"/>
      <c r="CX274" s="47"/>
      <c r="CY274" s="47"/>
      <c r="DJ274" s="33"/>
      <c r="DK274" s="33"/>
      <c r="DL274" s="33"/>
      <c r="DM274" s="33"/>
      <c r="DN274" s="33"/>
      <c r="DO274" s="33"/>
      <c r="DP274" s="33"/>
      <c r="DQ274" s="33"/>
      <c r="DR274" s="33"/>
      <c r="DS274" s="33"/>
      <c r="DT274" s="33"/>
      <c r="DU274" s="33"/>
      <c r="DV274" s="33"/>
      <c r="DW274" s="33"/>
      <c r="DX274" s="33"/>
      <c r="DY274" s="33"/>
      <c r="DZ274" s="33"/>
      <c r="EA274" s="33"/>
      <c r="EB274" s="33"/>
      <c r="EC274" s="33"/>
      <c r="ED274" s="33"/>
      <c r="EE274" s="33"/>
      <c r="EF274" s="33"/>
      <c r="EG274" s="33"/>
      <c r="EH274" s="33"/>
      <c r="EI274" s="33"/>
      <c r="EJ274" s="33"/>
      <c r="EK274" s="33"/>
      <c r="EL274" s="33"/>
      <c r="EM274" s="33"/>
      <c r="EN274" s="33"/>
      <c r="EO274" s="33"/>
      <c r="EP274" s="33"/>
      <c r="EQ274" s="33"/>
      <c r="ER274" s="33"/>
      <c r="ES274" s="33"/>
      <c r="ET274" s="33"/>
      <c r="EU274" s="33"/>
      <c r="EV274" s="33"/>
      <c r="EW274" s="33"/>
      <c r="EX274" s="33"/>
      <c r="EY274" s="33"/>
      <c r="EZ274" s="33"/>
    </row>
    <row r="275" ht="15.75" customHeight="1">
      <c r="A275" s="20" t="s">
        <v>535</v>
      </c>
      <c r="B275" s="20"/>
      <c r="C275" s="22"/>
      <c r="D275" s="22"/>
      <c r="E275" s="22"/>
      <c r="F275" s="22"/>
      <c r="G275" s="22"/>
      <c r="H275" s="22"/>
      <c r="I275" s="22"/>
      <c r="J275" s="22"/>
      <c r="K275" s="23"/>
      <c r="L275" s="23"/>
      <c r="M275" s="23"/>
      <c r="N275" s="23"/>
      <c r="O275" s="22"/>
      <c r="P275" s="24"/>
      <c r="Q275" s="24" t="str">
        <f t="shared" si="18"/>
        <v>very fine-grained, veined, white marble</v>
      </c>
      <c r="R275" s="20" t="s">
        <v>188</v>
      </c>
      <c r="S275" s="20" t="s">
        <v>189</v>
      </c>
      <c r="T275" s="20" t="s">
        <v>206</v>
      </c>
      <c r="U275" s="20" t="s">
        <v>374</v>
      </c>
      <c r="V275" s="22"/>
      <c r="W275" s="20" t="s">
        <v>166</v>
      </c>
      <c r="X275" s="20">
        <v>0.3</v>
      </c>
      <c r="Y275" s="20" t="s">
        <v>196</v>
      </c>
      <c r="Z275" s="20" t="s">
        <v>452</v>
      </c>
      <c r="AE275" s="110"/>
      <c r="AM275" s="22"/>
      <c r="AN275" s="22"/>
      <c r="AO275" s="43">
        <f t="shared" si="19"/>
        <v>0</v>
      </c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2"/>
      <c r="CW275" s="116"/>
      <c r="CX275" s="47"/>
      <c r="CY275" s="47"/>
      <c r="DJ275" s="33"/>
      <c r="DK275" s="33"/>
      <c r="DL275" s="33"/>
      <c r="DM275" s="33"/>
      <c r="DN275" s="33"/>
      <c r="DO275" s="33"/>
      <c r="DP275" s="33"/>
      <c r="DQ275" s="33"/>
      <c r="DR275" s="33"/>
      <c r="DS275" s="33"/>
      <c r="DT275" s="33"/>
      <c r="DU275" s="33"/>
      <c r="DV275" s="33"/>
      <c r="DW275" s="33"/>
      <c r="DX275" s="33"/>
      <c r="DY275" s="33"/>
      <c r="DZ275" s="33"/>
      <c r="EA275" s="33"/>
      <c r="EB275" s="33"/>
      <c r="EC275" s="33"/>
      <c r="ED275" s="33"/>
      <c r="EE275" s="33"/>
      <c r="EF275" s="33"/>
      <c r="EG275" s="33"/>
      <c r="EH275" s="33"/>
      <c r="EI275" s="33"/>
      <c r="EJ275" s="33"/>
      <c r="EK275" s="33"/>
      <c r="EL275" s="33"/>
      <c r="EM275" s="33"/>
      <c r="EN275" s="33"/>
      <c r="EO275" s="33"/>
      <c r="EP275" s="33"/>
      <c r="EQ275" s="33"/>
      <c r="ER275" s="33"/>
      <c r="ES275" s="33"/>
      <c r="ET275" s="33"/>
      <c r="EU275" s="33"/>
      <c r="EV275" s="33"/>
      <c r="EW275" s="33"/>
      <c r="EX275" s="33"/>
      <c r="EY275" s="33"/>
      <c r="EZ275" s="33"/>
    </row>
    <row r="276" ht="15.75" customHeight="1">
      <c r="A276" s="20" t="s">
        <v>536</v>
      </c>
      <c r="B276" s="20"/>
      <c r="C276" s="22"/>
      <c r="D276" s="22"/>
      <c r="E276" s="22"/>
      <c r="F276" s="22"/>
      <c r="G276" s="22"/>
      <c r="H276" s="22"/>
      <c r="I276" s="22"/>
      <c r="J276" s="22"/>
      <c r="K276" s="23"/>
      <c r="L276" s="23"/>
      <c r="M276" s="23"/>
      <c r="N276" s="23"/>
      <c r="O276" s="22"/>
      <c r="P276" s="24"/>
      <c r="Q276" s="24" t="str">
        <f t="shared" si="18"/>
        <v>very fine-grained, veined, white marble</v>
      </c>
      <c r="R276" s="20" t="s">
        <v>188</v>
      </c>
      <c r="S276" s="20" t="s">
        <v>189</v>
      </c>
      <c r="T276" s="20" t="s">
        <v>206</v>
      </c>
      <c r="U276" s="20" t="s">
        <v>181</v>
      </c>
      <c r="V276" s="22"/>
      <c r="W276" s="20" t="s">
        <v>166</v>
      </c>
      <c r="X276" s="20">
        <v>0.3</v>
      </c>
      <c r="Y276" s="20" t="s">
        <v>209</v>
      </c>
      <c r="Z276" s="20" t="s">
        <v>198</v>
      </c>
      <c r="AE276" s="110"/>
      <c r="AM276" s="22"/>
      <c r="AN276" s="22"/>
      <c r="AO276" s="43">
        <f t="shared" si="19"/>
        <v>0</v>
      </c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W276" s="116"/>
      <c r="CX276" s="47"/>
      <c r="CY276" s="47"/>
      <c r="DJ276" s="134"/>
      <c r="DK276" s="63"/>
      <c r="DL276" s="63"/>
      <c r="DM276" s="63"/>
      <c r="DN276" s="63"/>
      <c r="DO276" s="63"/>
      <c r="DP276" s="63"/>
      <c r="DQ276" s="63"/>
      <c r="DR276" s="63"/>
      <c r="DS276" s="63"/>
      <c r="DT276" s="63"/>
      <c r="DU276" s="63"/>
      <c r="DV276" s="63"/>
      <c r="DW276" s="63"/>
      <c r="DX276" s="63"/>
      <c r="DY276" s="63"/>
      <c r="DZ276" s="63"/>
      <c r="EA276" s="63"/>
      <c r="EB276" s="63"/>
      <c r="EC276" s="63"/>
      <c r="ED276" s="63"/>
      <c r="EE276" s="63"/>
      <c r="EF276" s="63"/>
      <c r="EG276" s="63"/>
      <c r="EH276" s="63"/>
      <c r="EI276" s="63"/>
      <c r="EJ276" s="63"/>
      <c r="EK276" s="63"/>
      <c r="EL276" s="63"/>
      <c r="EM276" s="63"/>
      <c r="EN276" s="63"/>
      <c r="EO276" s="63"/>
      <c r="EP276" s="63"/>
      <c r="EQ276" s="63"/>
      <c r="ER276" s="63"/>
      <c r="ES276" s="63"/>
      <c r="ET276" s="63"/>
      <c r="EU276" s="63"/>
      <c r="EV276" s="63"/>
      <c r="EW276" s="63"/>
      <c r="EX276" s="63"/>
      <c r="EY276" s="63"/>
      <c r="EZ276" s="33"/>
    </row>
    <row r="277" ht="15.75" customHeight="1">
      <c r="A277" s="20" t="s">
        <v>537</v>
      </c>
      <c r="B277" s="20"/>
      <c r="C277" s="22"/>
      <c r="D277" s="22"/>
      <c r="E277" s="22"/>
      <c r="F277" s="22"/>
      <c r="G277" s="22"/>
      <c r="H277" s="22"/>
      <c r="I277" s="22"/>
      <c r="J277" s="22"/>
      <c r="K277" s="23"/>
      <c r="L277" s="23"/>
      <c r="M277" s="23"/>
      <c r="N277" s="23"/>
      <c r="O277" s="22"/>
      <c r="P277" s="24"/>
      <c r="Q277" s="24" t="str">
        <f t="shared" si="18"/>
        <v>medium-grained, homogeneous, white marble</v>
      </c>
      <c r="R277" s="20" t="s">
        <v>205</v>
      </c>
      <c r="S277" s="20" t="s">
        <v>189</v>
      </c>
      <c r="T277" s="20" t="s">
        <v>194</v>
      </c>
      <c r="U277" s="22"/>
      <c r="V277" s="22"/>
      <c r="W277" s="20" t="s">
        <v>166</v>
      </c>
      <c r="X277" s="20">
        <v>2.6</v>
      </c>
      <c r="Y277" s="20" t="s">
        <v>183</v>
      </c>
      <c r="Z277" s="20" t="s">
        <v>213</v>
      </c>
      <c r="AE277" s="110"/>
      <c r="AM277" s="22"/>
      <c r="AN277" s="22"/>
      <c r="AO277" s="43">
        <f t="shared" si="19"/>
        <v>0</v>
      </c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2"/>
      <c r="CW277" s="116"/>
      <c r="CX277" s="47"/>
      <c r="CY277" s="47"/>
      <c r="DJ277" s="33"/>
      <c r="DK277" s="33"/>
      <c r="DL277" s="33"/>
      <c r="DM277" s="33"/>
      <c r="DN277" s="33"/>
      <c r="DO277" s="33"/>
      <c r="DP277" s="33"/>
      <c r="DQ277" s="33"/>
      <c r="DR277" s="33"/>
      <c r="DS277" s="33"/>
      <c r="DT277" s="33"/>
      <c r="DU277" s="33"/>
      <c r="DV277" s="33"/>
      <c r="DW277" s="33"/>
      <c r="DX277" s="33"/>
      <c r="DY277" s="33"/>
      <c r="DZ277" s="33"/>
      <c r="EA277" s="33"/>
      <c r="EB277" s="33"/>
      <c r="EC277" s="33"/>
      <c r="ED277" s="33"/>
      <c r="EE277" s="33"/>
      <c r="EF277" s="33"/>
      <c r="EG277" s="33"/>
      <c r="EH277" s="33"/>
      <c r="EI277" s="33"/>
      <c r="EJ277" s="33"/>
      <c r="EK277" s="33"/>
      <c r="EL277" s="33"/>
      <c r="EM277" s="33"/>
      <c r="EN277" s="33"/>
      <c r="EO277" s="33"/>
      <c r="EP277" s="33"/>
      <c r="EQ277" s="33"/>
      <c r="ER277" s="33"/>
      <c r="ES277" s="33"/>
      <c r="ET277" s="33"/>
      <c r="EU277" s="33"/>
      <c r="EV277" s="33"/>
      <c r="EW277" s="33"/>
      <c r="EX277" s="33"/>
      <c r="EY277" s="33"/>
      <c r="EZ277" s="33"/>
      <c r="FA277" s="33"/>
      <c r="FB277" s="33"/>
      <c r="FC277" s="33"/>
      <c r="FD277" s="33"/>
      <c r="FE277" s="33"/>
      <c r="FF277" s="33"/>
      <c r="FG277" s="33"/>
      <c r="FH277" s="33"/>
      <c r="FI277" s="33"/>
      <c r="FJ277" s="33"/>
      <c r="FK277" s="33"/>
      <c r="FL277" s="33"/>
      <c r="FM277" s="33"/>
      <c r="FN277" s="33"/>
      <c r="FO277" s="33"/>
      <c r="FP277" s="33"/>
      <c r="FQ277" s="33"/>
      <c r="FR277" s="33"/>
      <c r="FS277" s="33"/>
      <c r="FT277" s="33"/>
      <c r="FU277" s="33"/>
      <c r="FV277" s="33"/>
      <c r="FW277" s="33"/>
      <c r="FX277" s="33"/>
      <c r="FY277" s="33"/>
      <c r="FZ277" s="33"/>
      <c r="GA277" s="33"/>
    </row>
    <row r="278" ht="15.75" customHeight="1">
      <c r="A278" s="20" t="s">
        <v>538</v>
      </c>
      <c r="B278" s="20"/>
      <c r="C278" s="22"/>
      <c r="D278" s="22"/>
      <c r="E278" s="22"/>
      <c r="F278" s="22"/>
      <c r="G278" s="22"/>
      <c r="H278" s="22"/>
      <c r="I278" s="22"/>
      <c r="J278" s="22"/>
      <c r="K278" s="23"/>
      <c r="L278" s="23"/>
      <c r="M278" s="23"/>
      <c r="N278" s="23"/>
      <c r="O278" s="22"/>
      <c r="P278" s="24"/>
      <c r="Q278" s="24" t="str">
        <f t="shared" si="18"/>
        <v>very fine-grained, banded, grey marble</v>
      </c>
      <c r="R278" s="20" t="s">
        <v>188</v>
      </c>
      <c r="S278" s="20" t="s">
        <v>181</v>
      </c>
      <c r="T278" s="20" t="s">
        <v>182</v>
      </c>
      <c r="U278" s="22" t="s">
        <v>189</v>
      </c>
      <c r="V278" s="22" t="s">
        <v>166</v>
      </c>
      <c r="W278" s="20" t="s">
        <v>166</v>
      </c>
      <c r="X278" s="20">
        <v>0.8</v>
      </c>
      <c r="Y278" s="20" t="s">
        <v>191</v>
      </c>
      <c r="Z278" s="20" t="s">
        <v>184</v>
      </c>
      <c r="AB278" s="106" t="s">
        <v>166</v>
      </c>
      <c r="AC278" s="106">
        <v>0.4</v>
      </c>
      <c r="AD278" s="106" t="s">
        <v>196</v>
      </c>
      <c r="AE278" s="107" t="s">
        <v>198</v>
      </c>
      <c r="AF278" s="106" t="s">
        <v>166</v>
      </c>
      <c r="AI278" s="106" t="s">
        <v>186</v>
      </c>
      <c r="AM278" s="22"/>
      <c r="AN278" s="22"/>
      <c r="AO278" s="43">
        <f t="shared" si="19"/>
        <v>0</v>
      </c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W278" s="132" t="s">
        <v>166</v>
      </c>
      <c r="CX278" s="118">
        <v>2.38</v>
      </c>
      <c r="CY278" s="118">
        <v>-1.22</v>
      </c>
      <c r="FA278" s="40"/>
      <c r="FB278" s="40"/>
      <c r="FC278" s="40"/>
      <c r="FD278" s="40"/>
      <c r="FE278" s="40"/>
      <c r="FF278" s="40"/>
      <c r="FG278" s="40"/>
      <c r="FH278" s="40"/>
      <c r="FI278" s="40"/>
      <c r="FJ278" s="40"/>
      <c r="FK278" s="40"/>
      <c r="FL278" s="40"/>
      <c r="FM278" s="40"/>
      <c r="FN278" s="40"/>
      <c r="FO278" s="40"/>
      <c r="FP278" s="40"/>
      <c r="FQ278" s="40"/>
      <c r="FR278" s="40"/>
      <c r="FS278" s="40"/>
      <c r="FT278" s="40"/>
      <c r="FU278" s="40"/>
      <c r="FV278" s="40"/>
      <c r="FW278" s="40"/>
      <c r="FX278" s="40"/>
      <c r="FY278" s="40"/>
      <c r="FZ278" s="40"/>
      <c r="GA278" s="40"/>
    </row>
    <row r="279" ht="15.75" customHeight="1">
      <c r="A279" s="20" t="s">
        <v>539</v>
      </c>
      <c r="B279" s="20"/>
      <c r="C279" s="22"/>
      <c r="D279" s="22"/>
      <c r="E279" s="22"/>
      <c r="F279" s="22"/>
      <c r="G279" s="22"/>
      <c r="H279" s="22"/>
      <c r="I279" s="22"/>
      <c r="J279" s="22"/>
      <c r="K279" s="23"/>
      <c r="L279" s="23"/>
      <c r="M279" s="23"/>
      <c r="N279" s="23"/>
      <c r="O279" s="22"/>
      <c r="P279" s="24"/>
      <c r="Q279" s="24"/>
      <c r="R279" s="22"/>
      <c r="S279" s="20" t="s">
        <v>189</v>
      </c>
      <c r="T279" s="20" t="s">
        <v>243</v>
      </c>
      <c r="U279" s="20" t="s">
        <v>540</v>
      </c>
      <c r="V279" s="22"/>
      <c r="W279" s="20" t="s">
        <v>166</v>
      </c>
      <c r="X279" s="20">
        <v>0.3</v>
      </c>
      <c r="Y279" s="20" t="s">
        <v>219</v>
      </c>
      <c r="Z279" s="20" t="s">
        <v>219</v>
      </c>
      <c r="AA279" s="33"/>
      <c r="AB279" s="33"/>
      <c r="AC279" s="33"/>
      <c r="AD279" s="33"/>
      <c r="AE279" s="88"/>
      <c r="AF279" s="33"/>
      <c r="AG279" s="33"/>
      <c r="AH279" s="33"/>
      <c r="AI279" s="33"/>
      <c r="AJ279" s="33"/>
      <c r="AK279" s="33"/>
      <c r="AL279" s="33"/>
      <c r="AM279" s="22"/>
      <c r="AN279" s="22"/>
      <c r="AO279" s="43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2"/>
      <c r="CE279" s="33"/>
      <c r="CF279" s="33"/>
      <c r="CG279" s="33"/>
      <c r="CH279" s="33"/>
      <c r="CI279" s="33"/>
      <c r="CJ279" s="33"/>
      <c r="CK279" s="33"/>
      <c r="CL279" s="33"/>
      <c r="CM279" s="33"/>
      <c r="CN279" s="33"/>
      <c r="CO279" s="33"/>
      <c r="CP279" s="33"/>
      <c r="CQ279" s="33"/>
      <c r="CR279" s="33"/>
      <c r="CS279" s="33"/>
      <c r="CT279" s="33"/>
      <c r="CU279" s="33"/>
      <c r="CV279" s="33"/>
      <c r="CW279" s="141"/>
      <c r="CX279" s="54"/>
      <c r="CY279" s="54"/>
      <c r="CZ279" s="33"/>
      <c r="DA279" s="33"/>
      <c r="DB279" s="33"/>
      <c r="DC279" s="33"/>
      <c r="DD279" s="33"/>
      <c r="DE279" s="33"/>
      <c r="DF279" s="33"/>
      <c r="DG279" s="33"/>
      <c r="DH279" s="33"/>
      <c r="DI279" s="33"/>
      <c r="DJ279" s="50"/>
      <c r="DK279" s="63"/>
      <c r="DL279" s="63"/>
      <c r="DM279" s="63"/>
      <c r="DN279" s="63"/>
      <c r="DO279" s="63"/>
      <c r="DP279" s="63"/>
      <c r="DQ279" s="63"/>
      <c r="DR279" s="63"/>
      <c r="DS279" s="63"/>
      <c r="DT279" s="63"/>
      <c r="DU279" s="63"/>
      <c r="DV279" s="63"/>
      <c r="DW279" s="63"/>
      <c r="DX279" s="63"/>
      <c r="DY279" s="63"/>
      <c r="DZ279" s="63"/>
      <c r="EA279" s="63"/>
      <c r="EB279" s="63"/>
      <c r="EC279" s="63"/>
      <c r="ED279" s="63"/>
      <c r="EE279" s="63"/>
      <c r="EF279" s="63"/>
      <c r="EG279" s="63"/>
      <c r="EH279" s="63"/>
      <c r="EI279" s="63"/>
      <c r="EJ279" s="63"/>
      <c r="EK279" s="63"/>
      <c r="EL279" s="63"/>
      <c r="EM279" s="63"/>
      <c r="EN279" s="63"/>
      <c r="EO279" s="63"/>
      <c r="EP279" s="63"/>
      <c r="EQ279" s="63"/>
      <c r="ER279" s="63"/>
      <c r="ES279" s="63"/>
      <c r="ET279" s="63"/>
      <c r="EU279" s="63"/>
      <c r="EV279" s="63"/>
      <c r="EW279" s="63"/>
      <c r="EX279" s="63"/>
      <c r="EY279" s="63"/>
      <c r="EZ279" s="34"/>
      <c r="FA279" s="40"/>
      <c r="FB279" s="40"/>
      <c r="FC279" s="40"/>
      <c r="FD279" s="40"/>
      <c r="FE279" s="40"/>
      <c r="FF279" s="40"/>
      <c r="FG279" s="40"/>
      <c r="FH279" s="40"/>
      <c r="FI279" s="40"/>
      <c r="FJ279" s="40"/>
      <c r="FK279" s="40"/>
      <c r="FL279" s="40"/>
      <c r="FM279" s="40"/>
      <c r="FN279" s="40"/>
      <c r="FO279" s="40"/>
      <c r="FP279" s="40"/>
      <c r="FQ279" s="40"/>
      <c r="FR279" s="40"/>
      <c r="FS279" s="40"/>
      <c r="FT279" s="40"/>
      <c r="FU279" s="40"/>
      <c r="FV279" s="40"/>
      <c r="FW279" s="40"/>
      <c r="FX279" s="40"/>
      <c r="FY279" s="40"/>
      <c r="FZ279" s="40"/>
      <c r="GA279" s="40"/>
    </row>
    <row r="280" ht="15.75" customHeight="1">
      <c r="A280" s="20" t="s">
        <v>541</v>
      </c>
      <c r="B280" s="20"/>
      <c r="C280" s="22"/>
      <c r="D280" s="22"/>
      <c r="E280" s="22"/>
      <c r="F280" s="22"/>
      <c r="G280" s="22"/>
      <c r="H280" s="22"/>
      <c r="I280" s="22"/>
      <c r="J280" s="22"/>
      <c r="K280" s="23"/>
      <c r="L280" s="23"/>
      <c r="M280" s="23"/>
      <c r="N280" s="23"/>
      <c r="O280" s="22"/>
      <c r="P280" s="24"/>
      <c r="Q280" s="24"/>
      <c r="R280" s="20" t="s">
        <v>188</v>
      </c>
      <c r="S280" s="20" t="s">
        <v>189</v>
      </c>
      <c r="T280" s="20" t="s">
        <v>194</v>
      </c>
      <c r="U280" s="20" t="s">
        <v>195</v>
      </c>
      <c r="V280" s="22"/>
      <c r="W280" s="20" t="s">
        <v>166</v>
      </c>
      <c r="X280" s="20">
        <v>0.4</v>
      </c>
      <c r="Y280" s="20" t="s">
        <v>196</v>
      </c>
      <c r="Z280" s="20" t="s">
        <v>184</v>
      </c>
      <c r="AA280" s="33"/>
      <c r="AB280" s="33"/>
      <c r="AC280" s="33"/>
      <c r="AD280" s="33"/>
      <c r="AE280" s="88"/>
      <c r="AF280" s="33"/>
      <c r="AG280" s="33"/>
      <c r="AH280" s="33"/>
      <c r="AI280" s="33"/>
      <c r="AJ280" s="33"/>
      <c r="AK280" s="33"/>
      <c r="AL280" s="33"/>
      <c r="AM280" s="22"/>
      <c r="AN280" s="22"/>
      <c r="AO280" s="43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  <c r="CD280" s="22"/>
      <c r="CE280" s="33"/>
      <c r="CF280" s="33"/>
      <c r="CG280" s="33"/>
      <c r="CH280" s="33"/>
      <c r="CI280" s="33"/>
      <c r="CJ280" s="33"/>
      <c r="CK280" s="33"/>
      <c r="CL280" s="33"/>
      <c r="CM280" s="33"/>
      <c r="CN280" s="33"/>
      <c r="CO280" s="33"/>
      <c r="CP280" s="33"/>
      <c r="CQ280" s="33"/>
      <c r="CR280" s="33"/>
      <c r="CS280" s="33"/>
      <c r="CT280" s="33"/>
      <c r="CU280" s="33"/>
      <c r="CV280" s="33"/>
      <c r="CW280" s="141"/>
      <c r="CX280" s="142"/>
      <c r="CY280" s="142"/>
      <c r="CZ280" s="33"/>
      <c r="DA280" s="33"/>
      <c r="DB280" s="33"/>
      <c r="DC280" s="33"/>
      <c r="DD280" s="33"/>
      <c r="DE280" s="33"/>
      <c r="DF280" s="33"/>
      <c r="DG280" s="33"/>
      <c r="DH280" s="33"/>
      <c r="DI280" s="33"/>
      <c r="DJ280" s="50"/>
      <c r="DK280" s="63"/>
      <c r="DL280" s="63"/>
      <c r="DM280" s="63"/>
      <c r="DN280" s="63"/>
      <c r="DO280" s="63"/>
      <c r="DP280" s="63"/>
      <c r="DQ280" s="63"/>
      <c r="DR280" s="63"/>
      <c r="DS280" s="63"/>
      <c r="DT280" s="63"/>
      <c r="DU280" s="63"/>
      <c r="DV280" s="63"/>
      <c r="DW280" s="63"/>
      <c r="DX280" s="63"/>
      <c r="DY280" s="63"/>
      <c r="DZ280" s="63"/>
      <c r="EA280" s="63"/>
      <c r="EB280" s="63"/>
      <c r="EC280" s="63"/>
      <c r="ED280" s="63"/>
      <c r="EE280" s="63"/>
      <c r="EF280" s="63"/>
      <c r="EG280" s="63"/>
      <c r="EH280" s="63"/>
      <c r="EI280" s="63"/>
      <c r="EJ280" s="63"/>
      <c r="EK280" s="63"/>
      <c r="EL280" s="63"/>
      <c r="EM280" s="63"/>
      <c r="EN280" s="63"/>
      <c r="EO280" s="63"/>
      <c r="EP280" s="63"/>
      <c r="EQ280" s="63"/>
      <c r="ER280" s="63"/>
      <c r="ES280" s="63"/>
      <c r="ET280" s="63"/>
      <c r="EU280" s="63"/>
      <c r="EV280" s="63"/>
      <c r="EW280" s="63"/>
      <c r="EX280" s="63"/>
      <c r="EY280" s="63"/>
      <c r="EZ280" s="34"/>
      <c r="FA280" s="33"/>
      <c r="FB280" s="33"/>
      <c r="FC280" s="33"/>
      <c r="FD280" s="33"/>
      <c r="FE280" s="33"/>
      <c r="FF280" s="33"/>
      <c r="FG280" s="33"/>
      <c r="FH280" s="33"/>
      <c r="FI280" s="33"/>
      <c r="FJ280" s="33"/>
      <c r="FK280" s="33"/>
      <c r="FL280" s="33"/>
      <c r="FM280" s="33"/>
      <c r="FN280" s="33"/>
      <c r="FO280" s="33"/>
      <c r="FP280" s="33"/>
      <c r="FQ280" s="33"/>
      <c r="FR280" s="33"/>
      <c r="FS280" s="33"/>
      <c r="FT280" s="33"/>
      <c r="FU280" s="33"/>
      <c r="FV280" s="33"/>
      <c r="FW280" s="33"/>
      <c r="FX280" s="33"/>
      <c r="FY280" s="33"/>
      <c r="FZ280" s="33"/>
      <c r="GA280" s="33"/>
    </row>
    <row r="281" ht="15.75" customHeight="1">
      <c r="A281" s="20" t="s">
        <v>542</v>
      </c>
      <c r="B281" s="20"/>
      <c r="C281" s="22"/>
      <c r="D281" s="22"/>
      <c r="E281" s="22"/>
      <c r="F281" s="22"/>
      <c r="G281" s="22"/>
      <c r="H281" s="22"/>
      <c r="I281" s="22"/>
      <c r="J281" s="22"/>
      <c r="K281" s="23"/>
      <c r="L281" s="48" t="s">
        <v>441</v>
      </c>
      <c r="M281" s="23"/>
      <c r="N281" s="23"/>
      <c r="O281" s="22" t="s">
        <v>164</v>
      </c>
      <c r="P281" s="24"/>
      <c r="Q281" s="24" t="str">
        <f t="shared" ref="Q281:Q282" si="20">CONCATENATE(R281, "-grained, ", T281, ", ", S281," marble")</f>
        <v>fine-grained, banded, white marble</v>
      </c>
      <c r="R281" s="20" t="s">
        <v>180</v>
      </c>
      <c r="S281" s="20" t="s">
        <v>189</v>
      </c>
      <c r="T281" s="20" t="s">
        <v>182</v>
      </c>
      <c r="U281" s="20" t="s">
        <v>181</v>
      </c>
      <c r="V281" s="20" t="s">
        <v>190</v>
      </c>
      <c r="W281" s="20" t="s">
        <v>166</v>
      </c>
      <c r="X281" s="20">
        <v>1.5</v>
      </c>
      <c r="Y281" s="20" t="s">
        <v>209</v>
      </c>
      <c r="Z281" s="20" t="s">
        <v>184</v>
      </c>
      <c r="AA281" s="33"/>
      <c r="AB281" s="50" t="s">
        <v>166</v>
      </c>
      <c r="AC281" s="50">
        <v>1.6</v>
      </c>
      <c r="AD281" s="50" t="s">
        <v>191</v>
      </c>
      <c r="AE281" s="36" t="s">
        <v>198</v>
      </c>
      <c r="AF281" s="33" t="s">
        <v>164</v>
      </c>
      <c r="AG281" s="50" t="s">
        <v>166</v>
      </c>
      <c r="AH281" s="33" t="s">
        <v>164</v>
      </c>
      <c r="AI281" s="33" t="s">
        <v>164</v>
      </c>
      <c r="AJ281" s="33" t="s">
        <v>164</v>
      </c>
      <c r="AK281" s="33" t="s">
        <v>164</v>
      </c>
      <c r="AL281" s="33" t="s">
        <v>164</v>
      </c>
      <c r="AM281" s="22"/>
      <c r="AN281" s="22"/>
      <c r="AO281" s="43">
        <f t="shared" ref="AO281:AO282" si="21">SUM(AP281,AQ281,AR281)</f>
        <v>0</v>
      </c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 t="s">
        <v>164</v>
      </c>
      <c r="BF281" s="22" t="s">
        <v>164</v>
      </c>
      <c r="BG281" s="22" t="s">
        <v>164</v>
      </c>
      <c r="BH281" s="22" t="s">
        <v>164</v>
      </c>
      <c r="BI281" s="22"/>
      <c r="BJ281" s="22" t="s">
        <v>164</v>
      </c>
      <c r="BK281" s="22"/>
      <c r="BL281" s="22" t="s">
        <v>164</v>
      </c>
      <c r="BM281" s="22"/>
      <c r="BN281" s="22" t="s">
        <v>164</v>
      </c>
      <c r="BO281" s="22"/>
      <c r="BP281" s="22"/>
      <c r="BQ281" s="22"/>
      <c r="BR281" s="22" t="s">
        <v>164</v>
      </c>
      <c r="BS281" s="22"/>
      <c r="BT281" s="22" t="s">
        <v>164</v>
      </c>
      <c r="BU281" s="22"/>
      <c r="BV281" s="22"/>
      <c r="BW281" s="22"/>
      <c r="BX281" s="22" t="s">
        <v>164</v>
      </c>
      <c r="BY281" s="22"/>
      <c r="BZ281" s="22" t="s">
        <v>164</v>
      </c>
      <c r="CA281" s="22"/>
      <c r="CB281" s="22" t="s">
        <v>164</v>
      </c>
      <c r="CC281" s="22"/>
      <c r="CD281" s="22" t="s">
        <v>164</v>
      </c>
      <c r="CE281" s="33" t="s">
        <v>164</v>
      </c>
      <c r="CF281" s="33" t="s">
        <v>164</v>
      </c>
      <c r="CG281" s="33" t="s">
        <v>164</v>
      </c>
      <c r="CH281" s="33" t="s">
        <v>164</v>
      </c>
      <c r="CI281" s="33" t="s">
        <v>164</v>
      </c>
      <c r="CJ281" s="33" t="s">
        <v>164</v>
      </c>
      <c r="CK281" s="33" t="s">
        <v>164</v>
      </c>
      <c r="CL281" s="33" t="s">
        <v>164</v>
      </c>
      <c r="CM281" s="33" t="s">
        <v>164</v>
      </c>
      <c r="CN281" s="33" t="s">
        <v>164</v>
      </c>
      <c r="CO281" s="33" t="s">
        <v>164</v>
      </c>
      <c r="CP281" s="33" t="s">
        <v>164</v>
      </c>
      <c r="CQ281" s="33" t="s">
        <v>164</v>
      </c>
      <c r="CR281" s="33" t="s">
        <v>164</v>
      </c>
      <c r="CS281" s="33" t="s">
        <v>164</v>
      </c>
      <c r="CT281" s="33" t="s">
        <v>164</v>
      </c>
      <c r="CU281" s="33" t="s">
        <v>164</v>
      </c>
      <c r="CV281" s="33" t="s">
        <v>164</v>
      </c>
      <c r="CW281" s="140" t="s">
        <v>166</v>
      </c>
      <c r="CX281" s="38">
        <v>3.0</v>
      </c>
      <c r="CY281" s="38">
        <v>-1.37</v>
      </c>
      <c r="CZ281" s="50" t="s">
        <v>166</v>
      </c>
      <c r="DA281" s="33" t="s">
        <v>164</v>
      </c>
      <c r="DB281" s="33" t="s">
        <v>164</v>
      </c>
      <c r="DC281" s="33" t="s">
        <v>164</v>
      </c>
      <c r="DD281" s="33" t="s">
        <v>164</v>
      </c>
      <c r="DE281" s="33" t="s">
        <v>164</v>
      </c>
      <c r="DF281" s="33" t="s">
        <v>164</v>
      </c>
      <c r="DG281" s="33" t="s">
        <v>164</v>
      </c>
      <c r="DH281" s="33" t="s">
        <v>164</v>
      </c>
      <c r="DI281" s="33" t="s">
        <v>164</v>
      </c>
      <c r="DJ281" s="50" t="s">
        <v>166</v>
      </c>
      <c r="DK281" s="52">
        <v>1.16</v>
      </c>
      <c r="DL281" s="52">
        <v>6.44</v>
      </c>
      <c r="DM281" s="52">
        <v>76.03</v>
      </c>
      <c r="DN281" s="52">
        <v>3474.4</v>
      </c>
      <c r="DO281" s="52">
        <v>0.127148565</v>
      </c>
      <c r="DP281" s="52">
        <v>26.66</v>
      </c>
      <c r="DQ281" s="52">
        <v>12.76</v>
      </c>
      <c r="DR281" s="52">
        <v>8.02</v>
      </c>
      <c r="DS281" s="52">
        <v>6.21</v>
      </c>
      <c r="DT281" s="52">
        <v>510.68</v>
      </c>
      <c r="DU281" s="52">
        <v>0.25</v>
      </c>
      <c r="DV281" s="52">
        <v>3.33</v>
      </c>
      <c r="DW281" s="52">
        <v>2.91</v>
      </c>
      <c r="DX281" s="52">
        <v>30.97</v>
      </c>
      <c r="DY281" s="52">
        <v>0.27</v>
      </c>
      <c r="DZ281" s="52">
        <v>0.38</v>
      </c>
      <c r="EA281" s="52">
        <v>0.95</v>
      </c>
      <c r="EB281" s="52">
        <v>168.17</v>
      </c>
      <c r="EC281" s="52">
        <v>0.66</v>
      </c>
      <c r="ED281" s="52">
        <v>0.52</v>
      </c>
      <c r="EE281" s="52">
        <v>0.14</v>
      </c>
      <c r="EF281" s="52">
        <v>0.12</v>
      </c>
      <c r="EG281" s="52">
        <v>0.28</v>
      </c>
      <c r="EH281" s="52">
        <v>0.18</v>
      </c>
      <c r="EI281" s="52">
        <v>0.07</v>
      </c>
      <c r="EJ281" s="52">
        <v>5.54</v>
      </c>
      <c r="EK281" s="52">
        <v>1.43</v>
      </c>
      <c r="EL281" s="52">
        <v>1.46</v>
      </c>
      <c r="EM281" s="52">
        <v>0.92</v>
      </c>
      <c r="EN281" s="52">
        <v>0.15</v>
      </c>
      <c r="EO281" s="52">
        <v>0.03</v>
      </c>
      <c r="EP281" s="52">
        <v>0.13</v>
      </c>
      <c r="EQ281" s="52">
        <v>0.1</v>
      </c>
      <c r="ER281" s="52">
        <v>0.08</v>
      </c>
      <c r="ES281" s="52">
        <v>0.06</v>
      </c>
      <c r="ET281" s="52">
        <v>0.009967164</v>
      </c>
      <c r="EU281" s="52">
        <v>18.17</v>
      </c>
      <c r="EV281" s="52">
        <v>136.64</v>
      </c>
      <c r="EW281" s="52">
        <v>14.78</v>
      </c>
      <c r="EX281" s="52">
        <v>0.06</v>
      </c>
      <c r="EY281" s="52">
        <v>0.05</v>
      </c>
      <c r="EZ281" s="34"/>
      <c r="FA281" s="33"/>
      <c r="FB281" s="33"/>
      <c r="FC281" s="33"/>
      <c r="FD281" s="33"/>
      <c r="FE281" s="33"/>
      <c r="FF281" s="33"/>
      <c r="FG281" s="33"/>
      <c r="FH281" s="33"/>
      <c r="FI281" s="33"/>
      <c r="FJ281" s="33"/>
      <c r="FK281" s="33"/>
      <c r="FL281" s="33"/>
      <c r="FM281" s="33"/>
      <c r="FN281" s="33"/>
      <c r="FO281" s="33"/>
      <c r="FP281" s="33"/>
      <c r="FQ281" s="33"/>
      <c r="FR281" s="33"/>
      <c r="FS281" s="33"/>
      <c r="FT281" s="33"/>
      <c r="FU281" s="33"/>
      <c r="FV281" s="33"/>
      <c r="FW281" s="33"/>
      <c r="FX281" s="33"/>
      <c r="FY281" s="33"/>
      <c r="FZ281" s="33"/>
      <c r="GA281" s="33"/>
    </row>
    <row r="282" ht="15.75" customHeight="1">
      <c r="A282" s="20" t="s">
        <v>543</v>
      </c>
      <c r="B282" s="20"/>
      <c r="C282" s="22"/>
      <c r="D282" s="22"/>
      <c r="E282" s="22"/>
      <c r="F282" s="22"/>
      <c r="G282" s="22"/>
      <c r="H282" s="22"/>
      <c r="I282" s="22"/>
      <c r="J282" s="22"/>
      <c r="K282" s="48" t="s">
        <v>225</v>
      </c>
      <c r="L282" s="23"/>
      <c r="M282" s="23"/>
      <c r="N282" s="23"/>
      <c r="O282" s="22" t="s">
        <v>164</v>
      </c>
      <c r="P282" s="76" t="s">
        <v>544</v>
      </c>
      <c r="Q282" s="24" t="str">
        <f t="shared" si="20"/>
        <v>very fine-grained, homogeneous, white marble</v>
      </c>
      <c r="R282" s="20" t="s">
        <v>188</v>
      </c>
      <c r="S282" s="20" t="s">
        <v>189</v>
      </c>
      <c r="T282" s="20" t="s">
        <v>194</v>
      </c>
      <c r="U282" s="20" t="s">
        <v>195</v>
      </c>
      <c r="V282" s="20" t="s">
        <v>190</v>
      </c>
      <c r="W282" s="20" t="s">
        <v>166</v>
      </c>
      <c r="X282" s="20">
        <v>0.4</v>
      </c>
      <c r="Y282" s="20" t="s">
        <v>219</v>
      </c>
      <c r="Z282" s="20" t="s">
        <v>219</v>
      </c>
      <c r="AA282" s="33"/>
      <c r="AB282" s="50" t="s">
        <v>166</v>
      </c>
      <c r="AC282" s="50">
        <v>0.7</v>
      </c>
      <c r="AD282" s="50" t="s">
        <v>183</v>
      </c>
      <c r="AE282" s="107" t="s">
        <v>213</v>
      </c>
      <c r="AF282" s="33" t="s">
        <v>164</v>
      </c>
      <c r="AG282" s="33" t="s">
        <v>164</v>
      </c>
      <c r="AH282" s="50" t="s">
        <v>166</v>
      </c>
      <c r="AI282" s="33" t="s">
        <v>164</v>
      </c>
      <c r="AJ282" s="33" t="s">
        <v>164</v>
      </c>
      <c r="AK282" s="50" t="s">
        <v>166</v>
      </c>
      <c r="AL282" s="33" t="s">
        <v>164</v>
      </c>
      <c r="AM282" s="22"/>
      <c r="AN282" s="22"/>
      <c r="AO282" s="43">
        <f t="shared" si="21"/>
        <v>0</v>
      </c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 t="s">
        <v>164</v>
      </c>
      <c r="BF282" s="22" t="s">
        <v>164</v>
      </c>
      <c r="BG282" s="22" t="s">
        <v>164</v>
      </c>
      <c r="BH282" s="22" t="s">
        <v>164</v>
      </c>
      <c r="BI282" s="22"/>
      <c r="BJ282" s="22" t="s">
        <v>164</v>
      </c>
      <c r="BK282" s="22"/>
      <c r="BL282" s="22" t="s">
        <v>164</v>
      </c>
      <c r="BM282" s="22"/>
      <c r="BN282" s="22" t="s">
        <v>164</v>
      </c>
      <c r="BO282" s="22"/>
      <c r="BP282" s="22"/>
      <c r="BQ282" s="22"/>
      <c r="BR282" s="22" t="s">
        <v>164</v>
      </c>
      <c r="BS282" s="22"/>
      <c r="BT282" s="22" t="s">
        <v>164</v>
      </c>
      <c r="BU282" s="22"/>
      <c r="BV282" s="22"/>
      <c r="BW282" s="22"/>
      <c r="BX282" s="22" t="s">
        <v>164</v>
      </c>
      <c r="BY282" s="22"/>
      <c r="BZ282" s="22" t="s">
        <v>164</v>
      </c>
      <c r="CA282" s="22"/>
      <c r="CB282" s="22" t="s">
        <v>164</v>
      </c>
      <c r="CC282" s="22"/>
      <c r="CD282" s="22" t="s">
        <v>164</v>
      </c>
      <c r="CE282" s="33" t="s">
        <v>164</v>
      </c>
      <c r="CF282" s="33" t="s">
        <v>164</v>
      </c>
      <c r="CG282" s="33" t="s">
        <v>164</v>
      </c>
      <c r="CH282" s="33" t="s">
        <v>164</v>
      </c>
      <c r="CI282" s="33" t="s">
        <v>164</v>
      </c>
      <c r="CJ282" s="33" t="s">
        <v>164</v>
      </c>
      <c r="CK282" s="33" t="s">
        <v>164</v>
      </c>
      <c r="CL282" s="33" t="s">
        <v>164</v>
      </c>
      <c r="CM282" s="33" t="s">
        <v>164</v>
      </c>
      <c r="CN282" s="33" t="s">
        <v>164</v>
      </c>
      <c r="CO282" s="33" t="s">
        <v>164</v>
      </c>
      <c r="CP282" s="33" t="s">
        <v>164</v>
      </c>
      <c r="CQ282" s="33" t="s">
        <v>164</v>
      </c>
      <c r="CR282" s="33" t="s">
        <v>164</v>
      </c>
      <c r="CS282" s="33" t="s">
        <v>164</v>
      </c>
      <c r="CT282" s="33" t="s">
        <v>164</v>
      </c>
      <c r="CU282" s="33" t="s">
        <v>164</v>
      </c>
      <c r="CV282" s="33" t="s">
        <v>164</v>
      </c>
      <c r="CW282" s="140" t="s">
        <v>166</v>
      </c>
      <c r="CX282" s="38">
        <v>2.68</v>
      </c>
      <c r="CY282" s="38">
        <v>-0.4</v>
      </c>
      <c r="CZ282" s="50" t="s">
        <v>166</v>
      </c>
      <c r="DA282" s="33" t="s">
        <v>164</v>
      </c>
      <c r="DB282" s="33" t="s">
        <v>164</v>
      </c>
      <c r="DC282" s="33" t="s">
        <v>164</v>
      </c>
      <c r="DD282" s="33" t="s">
        <v>164</v>
      </c>
      <c r="DE282" s="33" t="s">
        <v>164</v>
      </c>
      <c r="DF282" s="33" t="s">
        <v>164</v>
      </c>
      <c r="DG282" s="33" t="s">
        <v>164</v>
      </c>
      <c r="DH282" s="33" t="s">
        <v>164</v>
      </c>
      <c r="DI282" s="33" t="s">
        <v>164</v>
      </c>
      <c r="DJ282" s="50" t="s">
        <v>166</v>
      </c>
      <c r="DK282" s="52">
        <v>1.55</v>
      </c>
      <c r="DL282" s="52">
        <v>63.63</v>
      </c>
      <c r="DM282" s="52">
        <v>348.37</v>
      </c>
      <c r="DN282" s="52">
        <v>1378.58</v>
      </c>
      <c r="DO282" s="52">
        <v>0.807474876</v>
      </c>
      <c r="DP282" s="52">
        <v>3568.8</v>
      </c>
      <c r="DQ282" s="52">
        <v>1.52</v>
      </c>
      <c r="DR282" s="52">
        <v>19.7</v>
      </c>
      <c r="DS282" s="52">
        <v>5.97</v>
      </c>
      <c r="DT282" s="52">
        <v>115.73</v>
      </c>
      <c r="DU282" s="52">
        <v>947.45</v>
      </c>
      <c r="DV282" s="52">
        <v>2.12</v>
      </c>
      <c r="DW282" s="52">
        <v>48.14</v>
      </c>
      <c r="DX282" s="52">
        <v>10.01</v>
      </c>
      <c r="DY282" s="52">
        <v>25.53</v>
      </c>
      <c r="DZ282" s="52">
        <v>0.27</v>
      </c>
      <c r="EA282" s="52">
        <v>0.92</v>
      </c>
      <c r="EB282" s="52">
        <v>0.76</v>
      </c>
      <c r="EC282" s="52">
        <v>2797.21</v>
      </c>
      <c r="ED282" s="52">
        <v>2.58</v>
      </c>
      <c r="EE282" s="52">
        <v>1.55</v>
      </c>
      <c r="EF282" s="52">
        <v>1.12</v>
      </c>
      <c r="EG282" s="52">
        <v>0.14</v>
      </c>
      <c r="EH282" s="52">
        <v>0.54</v>
      </c>
      <c r="EI282" s="52">
        <v>0.71</v>
      </c>
      <c r="EJ282" s="52">
        <v>0.37</v>
      </c>
      <c r="EK282" s="52">
        <v>12.77</v>
      </c>
      <c r="EL282" s="52">
        <v>1.28</v>
      </c>
      <c r="EM282" s="52">
        <v>0.33</v>
      </c>
      <c r="EN282" s="52">
        <v>0.77</v>
      </c>
      <c r="EO282" s="52">
        <v>0.24</v>
      </c>
      <c r="EP282" s="52">
        <v>0.06</v>
      </c>
      <c r="EQ282" s="52">
        <v>0.33</v>
      </c>
      <c r="ER282" s="52">
        <v>0.26</v>
      </c>
      <c r="ES282" s="52">
        <v>0.17</v>
      </c>
      <c r="ET282" s="52">
        <v>0.08719238</v>
      </c>
      <c r="EU282" s="52">
        <v>0.17</v>
      </c>
      <c r="EV282" s="52">
        <v>143.4</v>
      </c>
      <c r="EW282" s="52">
        <v>66.45</v>
      </c>
      <c r="EX282" s="52">
        <v>876.52</v>
      </c>
      <c r="EY282" s="52">
        <v>1.0</v>
      </c>
      <c r="EZ282" s="34"/>
      <c r="FA282" s="33"/>
      <c r="FB282" s="33"/>
      <c r="FC282" s="33"/>
      <c r="FD282" s="33"/>
      <c r="FE282" s="33"/>
      <c r="FF282" s="33"/>
      <c r="FG282" s="33"/>
      <c r="FH282" s="33"/>
      <c r="FI282" s="33"/>
      <c r="FJ282" s="33"/>
      <c r="FK282" s="33"/>
      <c r="FL282" s="33"/>
      <c r="FM282" s="33"/>
      <c r="FN282" s="33"/>
      <c r="FO282" s="33"/>
      <c r="FP282" s="33"/>
      <c r="FQ282" s="33"/>
      <c r="FR282" s="33"/>
      <c r="FS282" s="33"/>
      <c r="FT282" s="33"/>
      <c r="FU282" s="33"/>
      <c r="FV282" s="33"/>
      <c r="FW282" s="33"/>
      <c r="FX282" s="33"/>
      <c r="FY282" s="33"/>
      <c r="FZ282" s="33"/>
      <c r="GA282" s="33"/>
    </row>
    <row r="283" ht="15.75" customHeight="1">
      <c r="A283" s="20" t="s">
        <v>545</v>
      </c>
      <c r="B283" s="20"/>
      <c r="C283" s="22"/>
      <c r="D283" s="22"/>
      <c r="E283" s="22"/>
      <c r="F283" s="22"/>
      <c r="G283" s="22"/>
      <c r="H283" s="22"/>
      <c r="I283" s="22"/>
      <c r="J283" s="22"/>
      <c r="K283" s="23"/>
      <c r="L283" s="23"/>
      <c r="M283" s="23"/>
      <c r="N283" s="23"/>
      <c r="O283" s="22"/>
      <c r="P283" s="24"/>
      <c r="Q283" s="24"/>
      <c r="R283" s="20" t="s">
        <v>205</v>
      </c>
      <c r="S283" s="20" t="s">
        <v>189</v>
      </c>
      <c r="T283" s="20" t="s">
        <v>182</v>
      </c>
      <c r="U283" s="20" t="s">
        <v>181</v>
      </c>
      <c r="V283" s="22"/>
      <c r="W283" s="20" t="s">
        <v>166</v>
      </c>
      <c r="X283" s="20">
        <v>2.0</v>
      </c>
      <c r="Y283" s="20" t="s">
        <v>196</v>
      </c>
      <c r="Z283" s="20" t="s">
        <v>198</v>
      </c>
      <c r="AA283" s="33"/>
      <c r="AB283" s="33"/>
      <c r="AC283" s="33"/>
      <c r="AD283" s="33"/>
      <c r="AE283" s="88"/>
      <c r="AF283" s="33"/>
      <c r="AG283" s="33"/>
      <c r="AH283" s="33"/>
      <c r="AI283" s="33"/>
      <c r="AJ283" s="33"/>
      <c r="AK283" s="33"/>
      <c r="AL283" s="33"/>
      <c r="AM283" s="22"/>
      <c r="AN283" s="22"/>
      <c r="AO283" s="43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2"/>
      <c r="CB283" s="22"/>
      <c r="CC283" s="22"/>
      <c r="CD283" s="22"/>
      <c r="CE283" s="33"/>
      <c r="CF283" s="33"/>
      <c r="CG283" s="33"/>
      <c r="CH283" s="33"/>
      <c r="CI283" s="33"/>
      <c r="CJ283" s="33"/>
      <c r="CK283" s="33"/>
      <c r="CL283" s="33"/>
      <c r="CM283" s="33"/>
      <c r="CN283" s="33"/>
      <c r="CO283" s="33"/>
      <c r="CP283" s="33"/>
      <c r="CQ283" s="33"/>
      <c r="CR283" s="33"/>
      <c r="CS283" s="33"/>
      <c r="CT283" s="33"/>
      <c r="CU283" s="33"/>
      <c r="CV283" s="33"/>
      <c r="CW283" s="141"/>
      <c r="CX283" s="142"/>
      <c r="CY283" s="142"/>
      <c r="CZ283" s="33"/>
      <c r="DA283" s="33"/>
      <c r="DB283" s="33"/>
      <c r="DC283" s="33"/>
      <c r="DD283" s="33"/>
      <c r="DE283" s="33"/>
      <c r="DF283" s="33"/>
      <c r="DG283" s="33"/>
      <c r="DH283" s="33"/>
      <c r="DI283" s="33"/>
      <c r="DJ283" s="50"/>
      <c r="DK283" s="63"/>
      <c r="DL283" s="63"/>
      <c r="DM283" s="63"/>
      <c r="DN283" s="63"/>
      <c r="DO283" s="63"/>
      <c r="DP283" s="63"/>
      <c r="DQ283" s="63"/>
      <c r="DR283" s="63"/>
      <c r="DS283" s="63"/>
      <c r="DT283" s="63"/>
      <c r="DU283" s="63"/>
      <c r="DV283" s="63"/>
      <c r="DW283" s="63"/>
      <c r="DX283" s="63"/>
      <c r="DY283" s="63"/>
      <c r="DZ283" s="63"/>
      <c r="EA283" s="63"/>
      <c r="EB283" s="63"/>
      <c r="EC283" s="63"/>
      <c r="ED283" s="63"/>
      <c r="EE283" s="63"/>
      <c r="EF283" s="63"/>
      <c r="EG283" s="63"/>
      <c r="EH283" s="63"/>
      <c r="EI283" s="63"/>
      <c r="EJ283" s="63"/>
      <c r="EK283" s="63"/>
      <c r="EL283" s="63"/>
      <c r="EM283" s="63"/>
      <c r="EN283" s="63"/>
      <c r="EO283" s="63"/>
      <c r="EP283" s="63"/>
      <c r="EQ283" s="63"/>
      <c r="ER283" s="63"/>
      <c r="ES283" s="63"/>
      <c r="ET283" s="63"/>
      <c r="EU283" s="63"/>
      <c r="EV283" s="63"/>
      <c r="EW283" s="63"/>
      <c r="EX283" s="63"/>
      <c r="EY283" s="63"/>
      <c r="EZ283" s="34"/>
      <c r="FA283" s="33"/>
      <c r="FB283" s="33"/>
      <c r="FC283" s="33"/>
      <c r="FD283" s="33"/>
      <c r="FE283" s="33"/>
      <c r="FF283" s="33"/>
      <c r="FG283" s="33"/>
      <c r="FH283" s="33"/>
      <c r="FI283" s="33"/>
      <c r="FJ283" s="33"/>
      <c r="FK283" s="33"/>
      <c r="FL283" s="33"/>
      <c r="FM283" s="33"/>
      <c r="FN283" s="33"/>
      <c r="FO283" s="33"/>
      <c r="FP283" s="33"/>
      <c r="FQ283" s="33"/>
      <c r="FR283" s="33"/>
      <c r="FS283" s="33"/>
      <c r="FT283" s="33"/>
      <c r="FU283" s="33"/>
      <c r="FV283" s="33"/>
      <c r="FW283" s="33"/>
      <c r="FX283" s="33"/>
      <c r="FY283" s="33"/>
      <c r="FZ283" s="33"/>
      <c r="GA283" s="33"/>
    </row>
    <row r="284" ht="15.75" customHeight="1">
      <c r="A284" s="20" t="s">
        <v>546</v>
      </c>
      <c r="B284" s="20"/>
      <c r="C284" s="22"/>
      <c r="D284" s="22"/>
      <c r="E284" s="22"/>
      <c r="F284" s="22"/>
      <c r="G284" s="22"/>
      <c r="H284" s="22"/>
      <c r="I284" s="22"/>
      <c r="J284" s="22"/>
      <c r="K284" s="48" t="s">
        <v>225</v>
      </c>
      <c r="L284" s="23"/>
      <c r="M284" s="23"/>
      <c r="N284" s="23"/>
      <c r="O284" s="22" t="s">
        <v>164</v>
      </c>
      <c r="P284" s="24"/>
      <c r="Q284" s="24" t="str">
        <f t="shared" ref="Q284:Q287" si="22">CONCATENATE(R284, "-grained, ", T284, ", ", S284," marble")</f>
        <v>very fine-grained, homogeneous, white marble</v>
      </c>
      <c r="R284" s="20" t="s">
        <v>188</v>
      </c>
      <c r="S284" s="20" t="s">
        <v>189</v>
      </c>
      <c r="T284" s="20" t="s">
        <v>194</v>
      </c>
      <c r="U284" s="20" t="s">
        <v>195</v>
      </c>
      <c r="V284" s="20" t="s">
        <v>190</v>
      </c>
      <c r="W284" s="20" t="s">
        <v>166</v>
      </c>
      <c r="X284" s="20">
        <v>0.4</v>
      </c>
      <c r="Y284" s="20" t="s">
        <v>196</v>
      </c>
      <c r="Z284" s="20" t="s">
        <v>184</v>
      </c>
      <c r="AA284" s="33"/>
      <c r="AB284" s="50" t="s">
        <v>166</v>
      </c>
      <c r="AC284" s="50">
        <v>0.5</v>
      </c>
      <c r="AD284" s="50" t="s">
        <v>196</v>
      </c>
      <c r="AE284" s="36" t="s">
        <v>245</v>
      </c>
      <c r="AF284" s="50" t="s">
        <v>166</v>
      </c>
      <c r="AG284" s="33" t="s">
        <v>164</v>
      </c>
      <c r="AH284" s="33" t="s">
        <v>164</v>
      </c>
      <c r="AI284" s="33" t="s">
        <v>164</v>
      </c>
      <c r="AJ284" s="33" t="s">
        <v>164</v>
      </c>
      <c r="AK284" s="33" t="s">
        <v>164</v>
      </c>
      <c r="AL284" s="33" t="s">
        <v>164</v>
      </c>
      <c r="AM284" s="22"/>
      <c r="AN284" s="22"/>
      <c r="AO284" s="43">
        <f t="shared" ref="AO284:AO287" si="23">SUM(AP284,AQ284,AR284)</f>
        <v>0</v>
      </c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 t="s">
        <v>164</v>
      </c>
      <c r="BF284" s="22" t="s">
        <v>164</v>
      </c>
      <c r="BG284" s="22" t="s">
        <v>164</v>
      </c>
      <c r="BH284" s="22" t="s">
        <v>164</v>
      </c>
      <c r="BI284" s="22"/>
      <c r="BJ284" s="22" t="s">
        <v>164</v>
      </c>
      <c r="BK284" s="22"/>
      <c r="BL284" s="22" t="s">
        <v>164</v>
      </c>
      <c r="BM284" s="22"/>
      <c r="BN284" s="22" t="s">
        <v>164</v>
      </c>
      <c r="BO284" s="22"/>
      <c r="BP284" s="22"/>
      <c r="BQ284" s="22"/>
      <c r="BR284" s="22" t="s">
        <v>164</v>
      </c>
      <c r="BS284" s="22"/>
      <c r="BT284" s="22" t="s">
        <v>164</v>
      </c>
      <c r="BU284" s="22"/>
      <c r="BV284" s="22"/>
      <c r="BW284" s="22"/>
      <c r="BX284" s="22" t="s">
        <v>164</v>
      </c>
      <c r="BY284" s="22"/>
      <c r="BZ284" s="22" t="s">
        <v>164</v>
      </c>
      <c r="CA284" s="22"/>
      <c r="CB284" s="22" t="s">
        <v>164</v>
      </c>
      <c r="CC284" s="22"/>
      <c r="CD284" s="22" t="s">
        <v>164</v>
      </c>
      <c r="CE284" s="33" t="s">
        <v>164</v>
      </c>
      <c r="CF284" s="33" t="s">
        <v>164</v>
      </c>
      <c r="CG284" s="33" t="s">
        <v>164</v>
      </c>
      <c r="CH284" s="33" t="s">
        <v>164</v>
      </c>
      <c r="CI284" s="33" t="s">
        <v>164</v>
      </c>
      <c r="CJ284" s="33" t="s">
        <v>164</v>
      </c>
      <c r="CK284" s="33" t="s">
        <v>164</v>
      </c>
      <c r="CL284" s="33" t="s">
        <v>164</v>
      </c>
      <c r="CM284" s="33" t="s">
        <v>164</v>
      </c>
      <c r="CN284" s="33" t="s">
        <v>164</v>
      </c>
      <c r="CO284" s="33" t="s">
        <v>164</v>
      </c>
      <c r="CP284" s="33" t="s">
        <v>164</v>
      </c>
      <c r="CQ284" s="33" t="s">
        <v>164</v>
      </c>
      <c r="CR284" s="33" t="s">
        <v>164</v>
      </c>
      <c r="CS284" s="33" t="s">
        <v>164</v>
      </c>
      <c r="CT284" s="33" t="s">
        <v>164</v>
      </c>
      <c r="CU284" s="33" t="s">
        <v>164</v>
      </c>
      <c r="CV284" s="33" t="s">
        <v>164</v>
      </c>
      <c r="CW284" s="140" t="s">
        <v>166</v>
      </c>
      <c r="CX284" s="38">
        <v>2.03</v>
      </c>
      <c r="CY284" s="38">
        <v>-1.79</v>
      </c>
      <c r="CZ284" s="50" t="s">
        <v>166</v>
      </c>
      <c r="DA284" s="33" t="s">
        <v>164</v>
      </c>
      <c r="DB284" s="33" t="s">
        <v>164</v>
      </c>
      <c r="DC284" s="33" t="s">
        <v>164</v>
      </c>
      <c r="DD284" s="33" t="s">
        <v>164</v>
      </c>
      <c r="DE284" s="33" t="s">
        <v>164</v>
      </c>
      <c r="DF284" s="33" t="s">
        <v>164</v>
      </c>
      <c r="DG284" s="33" t="s">
        <v>164</v>
      </c>
      <c r="DH284" s="33" t="s">
        <v>164</v>
      </c>
      <c r="DI284" s="33" t="s">
        <v>164</v>
      </c>
      <c r="DJ284" s="50" t="s">
        <v>166</v>
      </c>
      <c r="DK284" s="52">
        <v>0.51</v>
      </c>
      <c r="DL284" s="52">
        <v>4.18</v>
      </c>
      <c r="DM284" s="52">
        <v>36.39</v>
      </c>
      <c r="DN284" s="52">
        <v>3721.03</v>
      </c>
      <c r="DO284" s="52">
        <v>0.080246154</v>
      </c>
      <c r="DP284" s="52">
        <v>3.01</v>
      </c>
      <c r="DQ284" s="52">
        <v>0.45</v>
      </c>
      <c r="DR284" s="52">
        <v>4.27</v>
      </c>
      <c r="DS284" s="52">
        <v>1.91</v>
      </c>
      <c r="DT284" s="52">
        <v>16.61</v>
      </c>
      <c r="DU284" s="52">
        <v>129.54</v>
      </c>
      <c r="DV284" s="52">
        <v>0.1</v>
      </c>
      <c r="DW284" s="52">
        <v>1.55</v>
      </c>
      <c r="DX284" s="52">
        <v>0.79</v>
      </c>
      <c r="DY284" s="52">
        <v>7.85</v>
      </c>
      <c r="DZ284" s="52">
        <v>0.04</v>
      </c>
      <c r="EA284" s="52">
        <v>0.08</v>
      </c>
      <c r="EB284" s="52">
        <v>0.11</v>
      </c>
      <c r="EC284" s="52">
        <v>181.05</v>
      </c>
      <c r="ED284" s="52">
        <v>1.85</v>
      </c>
      <c r="EE284" s="52">
        <v>0.18</v>
      </c>
      <c r="EF284" s="52">
        <v>0.02</v>
      </c>
      <c r="EG284" s="52">
        <v>0.02</v>
      </c>
      <c r="EH284" s="52">
        <v>0.25</v>
      </c>
      <c r="EI284" s="52">
        <v>0.04</v>
      </c>
      <c r="EJ284" s="52">
        <v>0.02</v>
      </c>
      <c r="EK284" s="52">
        <v>1.99</v>
      </c>
      <c r="EL284" s="52">
        <v>0.61</v>
      </c>
      <c r="EM284" s="52">
        <v>0.3</v>
      </c>
      <c r="EN284" s="52">
        <v>0.44</v>
      </c>
      <c r="EO284" s="52">
        <v>0.06</v>
      </c>
      <c r="EP284" s="52">
        <v>0.02</v>
      </c>
      <c r="EQ284" s="52">
        <v>0.08</v>
      </c>
      <c r="ER284" s="52">
        <v>0.15</v>
      </c>
      <c r="ES284" s="52">
        <v>0.14</v>
      </c>
      <c r="ET284" s="52">
        <v>0.054082999</v>
      </c>
      <c r="EU284" s="52">
        <v>0.01</v>
      </c>
      <c r="EV284" s="52">
        <v>3.75</v>
      </c>
      <c r="EW284" s="52">
        <v>1.96</v>
      </c>
      <c r="EX284" s="52">
        <v>0.65</v>
      </c>
      <c r="EY284" s="52">
        <v>0.02</v>
      </c>
      <c r="EZ284" s="34"/>
      <c r="FA284" s="33"/>
      <c r="FB284" s="33"/>
      <c r="FC284" s="33"/>
      <c r="FD284" s="33"/>
      <c r="FE284" s="33"/>
      <c r="FF284" s="33"/>
      <c r="FG284" s="33"/>
      <c r="FH284" s="33"/>
      <c r="FI284" s="33"/>
      <c r="FJ284" s="33"/>
      <c r="FK284" s="33"/>
      <c r="FL284" s="33"/>
      <c r="FM284" s="33"/>
      <c r="FN284" s="33"/>
      <c r="FO284" s="33"/>
      <c r="FP284" s="33"/>
      <c r="FQ284" s="33"/>
      <c r="FR284" s="33"/>
      <c r="FS284" s="33"/>
      <c r="FT284" s="33"/>
      <c r="FU284" s="33"/>
      <c r="FV284" s="33"/>
      <c r="FW284" s="33"/>
      <c r="FX284" s="33"/>
      <c r="FY284" s="33"/>
      <c r="FZ284" s="33"/>
      <c r="GA284" s="33"/>
    </row>
    <row r="285" ht="15.75" customHeight="1">
      <c r="A285" s="20" t="s">
        <v>547</v>
      </c>
      <c r="B285" s="20"/>
      <c r="C285" s="22"/>
      <c r="D285" s="22"/>
      <c r="E285" s="22"/>
      <c r="F285" s="22"/>
      <c r="G285" s="22"/>
      <c r="H285" s="22"/>
      <c r="I285" s="22"/>
      <c r="J285" s="22"/>
      <c r="K285" s="62"/>
      <c r="L285" s="48" t="s">
        <v>548</v>
      </c>
      <c r="M285" s="23"/>
      <c r="N285" s="23"/>
      <c r="O285" s="22" t="s">
        <v>164</v>
      </c>
      <c r="P285" s="24"/>
      <c r="Q285" s="24" t="str">
        <f t="shared" si="22"/>
        <v>fine-grained, banded, white marble</v>
      </c>
      <c r="R285" s="20" t="s">
        <v>180</v>
      </c>
      <c r="S285" s="20" t="s">
        <v>189</v>
      </c>
      <c r="T285" s="20" t="s">
        <v>182</v>
      </c>
      <c r="U285" s="20" t="s">
        <v>181</v>
      </c>
      <c r="V285" s="20" t="s">
        <v>190</v>
      </c>
      <c r="W285" s="20" t="s">
        <v>166</v>
      </c>
      <c r="X285" s="20">
        <v>1.5</v>
      </c>
      <c r="Y285" s="20" t="s">
        <v>183</v>
      </c>
      <c r="Z285" s="20" t="s">
        <v>213</v>
      </c>
      <c r="AA285" s="33"/>
      <c r="AB285" s="50" t="s">
        <v>166</v>
      </c>
      <c r="AC285" s="50">
        <v>1.9</v>
      </c>
      <c r="AD285" s="50" t="s">
        <v>183</v>
      </c>
      <c r="AE285" s="36" t="s">
        <v>439</v>
      </c>
      <c r="AF285" s="33" t="s">
        <v>164</v>
      </c>
      <c r="AG285" s="33" t="s">
        <v>164</v>
      </c>
      <c r="AH285" s="33" t="s">
        <v>164</v>
      </c>
      <c r="AI285" s="33" t="s">
        <v>164</v>
      </c>
      <c r="AJ285" s="33" t="s">
        <v>164</v>
      </c>
      <c r="AK285" s="33" t="s">
        <v>164</v>
      </c>
      <c r="AL285" s="33" t="s">
        <v>164</v>
      </c>
      <c r="AM285" s="22"/>
      <c r="AN285" s="22"/>
      <c r="AO285" s="43">
        <f t="shared" si="23"/>
        <v>0</v>
      </c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 t="s">
        <v>164</v>
      </c>
      <c r="BF285" s="22" t="s">
        <v>164</v>
      </c>
      <c r="BG285" s="22" t="s">
        <v>164</v>
      </c>
      <c r="BH285" s="22" t="s">
        <v>164</v>
      </c>
      <c r="BI285" s="22"/>
      <c r="BJ285" s="22" t="s">
        <v>164</v>
      </c>
      <c r="BK285" s="22"/>
      <c r="BL285" s="22" t="s">
        <v>164</v>
      </c>
      <c r="BM285" s="22"/>
      <c r="BN285" s="22" t="s">
        <v>164</v>
      </c>
      <c r="BO285" s="22"/>
      <c r="BP285" s="22"/>
      <c r="BQ285" s="22"/>
      <c r="BR285" s="22" t="s">
        <v>164</v>
      </c>
      <c r="BS285" s="22"/>
      <c r="BT285" s="22" t="s">
        <v>164</v>
      </c>
      <c r="BU285" s="22"/>
      <c r="BV285" s="22"/>
      <c r="BW285" s="22"/>
      <c r="BX285" s="22" t="s">
        <v>164</v>
      </c>
      <c r="BY285" s="22"/>
      <c r="BZ285" s="22" t="s">
        <v>164</v>
      </c>
      <c r="CA285" s="22"/>
      <c r="CB285" s="22" t="s">
        <v>164</v>
      </c>
      <c r="CC285" s="22"/>
      <c r="CD285" s="22" t="s">
        <v>164</v>
      </c>
      <c r="CE285" s="33" t="s">
        <v>164</v>
      </c>
      <c r="CF285" s="33" t="s">
        <v>164</v>
      </c>
      <c r="CG285" s="33" t="s">
        <v>164</v>
      </c>
      <c r="CH285" s="33" t="s">
        <v>164</v>
      </c>
      <c r="CI285" s="33" t="s">
        <v>164</v>
      </c>
      <c r="CJ285" s="33" t="s">
        <v>164</v>
      </c>
      <c r="CK285" s="33" t="s">
        <v>164</v>
      </c>
      <c r="CL285" s="33" t="s">
        <v>164</v>
      </c>
      <c r="CM285" s="33" t="s">
        <v>164</v>
      </c>
      <c r="CN285" s="33" t="s">
        <v>164</v>
      </c>
      <c r="CO285" s="33" t="s">
        <v>164</v>
      </c>
      <c r="CP285" s="33" t="s">
        <v>164</v>
      </c>
      <c r="CQ285" s="33" t="s">
        <v>164</v>
      </c>
      <c r="CR285" s="33" t="s">
        <v>164</v>
      </c>
      <c r="CS285" s="33" t="s">
        <v>164</v>
      </c>
      <c r="CT285" s="33" t="s">
        <v>164</v>
      </c>
      <c r="CU285" s="33" t="s">
        <v>164</v>
      </c>
      <c r="CV285" s="33" t="s">
        <v>164</v>
      </c>
      <c r="CW285" s="140" t="s">
        <v>166</v>
      </c>
      <c r="CX285" s="38">
        <v>2.91</v>
      </c>
      <c r="CY285" s="38">
        <v>-3.14</v>
      </c>
      <c r="CZ285" s="50" t="s">
        <v>166</v>
      </c>
      <c r="DA285" s="33" t="s">
        <v>164</v>
      </c>
      <c r="DB285" s="33" t="s">
        <v>164</v>
      </c>
      <c r="DC285" s="33" t="s">
        <v>164</v>
      </c>
      <c r="DD285" s="33" t="s">
        <v>164</v>
      </c>
      <c r="DE285" s="33" t="s">
        <v>164</v>
      </c>
      <c r="DF285" s="33" t="s">
        <v>164</v>
      </c>
      <c r="DG285" s="33" t="s">
        <v>164</v>
      </c>
      <c r="DH285" s="33" t="s">
        <v>164</v>
      </c>
      <c r="DI285" s="33" t="s">
        <v>164</v>
      </c>
      <c r="DJ285" s="50" t="s">
        <v>166</v>
      </c>
      <c r="DK285" s="52">
        <v>3.48</v>
      </c>
      <c r="DL285" s="52">
        <v>21.88</v>
      </c>
      <c r="DM285" s="52">
        <v>170.91</v>
      </c>
      <c r="DN285" s="52">
        <v>3493.59</v>
      </c>
      <c r="DO285" s="52">
        <v>0.17846201</v>
      </c>
      <c r="DP285" s="52">
        <v>36.44</v>
      </c>
      <c r="DQ285" s="52">
        <v>4.43</v>
      </c>
      <c r="DR285" s="52">
        <v>6.4</v>
      </c>
      <c r="DS285" s="52">
        <v>29.58</v>
      </c>
      <c r="DT285" s="52">
        <v>1434.34</v>
      </c>
      <c r="DU285" s="52">
        <v>0.7</v>
      </c>
      <c r="DV285" s="52">
        <v>4.09</v>
      </c>
      <c r="DW285" s="52">
        <v>2.73</v>
      </c>
      <c r="DX285" s="52">
        <v>35.66</v>
      </c>
      <c r="DY285" s="52">
        <v>1.36</v>
      </c>
      <c r="DZ285" s="52">
        <v>1.49</v>
      </c>
      <c r="EA285" s="52">
        <v>3.18</v>
      </c>
      <c r="EB285" s="52">
        <v>351.67</v>
      </c>
      <c r="EC285" s="52">
        <v>0.58</v>
      </c>
      <c r="ED285" s="52">
        <v>0.23</v>
      </c>
      <c r="EE285" s="52">
        <v>0.28</v>
      </c>
      <c r="EF285" s="52">
        <v>0.14</v>
      </c>
      <c r="EG285" s="52">
        <v>0.46</v>
      </c>
      <c r="EH285" s="52">
        <v>0.5</v>
      </c>
      <c r="EI285" s="52">
        <v>0.25</v>
      </c>
      <c r="EJ285" s="52">
        <v>38.86</v>
      </c>
      <c r="EK285" s="52">
        <v>0.74</v>
      </c>
      <c r="EL285" s="52">
        <v>2.25</v>
      </c>
      <c r="EM285" s="52">
        <v>0.56</v>
      </c>
      <c r="EN285" s="52">
        <v>0.12</v>
      </c>
      <c r="EO285" s="52">
        <v>0.04</v>
      </c>
      <c r="EP285" s="52">
        <v>0.18</v>
      </c>
      <c r="EQ285" s="52">
        <v>0.08</v>
      </c>
      <c r="ER285" s="52">
        <v>0.09</v>
      </c>
      <c r="ES285" s="52">
        <v>0.05</v>
      </c>
      <c r="ET285" s="52">
        <v>0.00446543</v>
      </c>
      <c r="EU285" s="52">
        <v>30.78</v>
      </c>
      <c r="EV285" s="52">
        <v>27.26</v>
      </c>
      <c r="EW285" s="52">
        <v>11.77</v>
      </c>
      <c r="EX285" s="52">
        <v>0.2</v>
      </c>
      <c r="EY285" s="52">
        <v>0.16</v>
      </c>
      <c r="EZ285" s="34"/>
      <c r="FA285" s="33"/>
      <c r="FB285" s="33"/>
      <c r="FC285" s="33"/>
      <c r="FD285" s="33"/>
      <c r="FE285" s="33"/>
      <c r="FF285" s="33"/>
      <c r="FG285" s="33"/>
      <c r="FH285" s="33"/>
      <c r="FI285" s="33"/>
      <c r="FJ285" s="33"/>
      <c r="FK285" s="33"/>
      <c r="FL285" s="33"/>
      <c r="FM285" s="33"/>
      <c r="FN285" s="33"/>
      <c r="FO285" s="33"/>
      <c r="FP285" s="33"/>
      <c r="FQ285" s="33"/>
      <c r="FR285" s="33"/>
      <c r="FS285" s="33"/>
      <c r="FT285" s="33"/>
      <c r="FU285" s="33"/>
      <c r="FV285" s="33"/>
      <c r="FW285" s="33"/>
      <c r="FX285" s="33"/>
      <c r="FY285" s="33"/>
      <c r="FZ285" s="33"/>
      <c r="GA285" s="33"/>
    </row>
    <row r="286" ht="15.75" customHeight="1">
      <c r="A286" s="20" t="s">
        <v>549</v>
      </c>
      <c r="B286" s="20"/>
      <c r="C286" s="22"/>
      <c r="D286" s="22"/>
      <c r="E286" s="22"/>
      <c r="F286" s="22"/>
      <c r="G286" s="22"/>
      <c r="H286" s="22"/>
      <c r="I286" s="22"/>
      <c r="J286" s="22"/>
      <c r="K286" s="48" t="s">
        <v>225</v>
      </c>
      <c r="L286" s="23"/>
      <c r="M286" s="23"/>
      <c r="N286" s="23"/>
      <c r="O286" s="22" t="s">
        <v>164</v>
      </c>
      <c r="P286" s="24"/>
      <c r="Q286" s="24" t="str">
        <f t="shared" si="22"/>
        <v>very fine-grained, homogeneous, white marble</v>
      </c>
      <c r="R286" s="20" t="s">
        <v>188</v>
      </c>
      <c r="S286" s="20" t="s">
        <v>189</v>
      </c>
      <c r="T286" s="20" t="s">
        <v>194</v>
      </c>
      <c r="U286" s="20" t="s">
        <v>195</v>
      </c>
      <c r="V286" s="20" t="s">
        <v>190</v>
      </c>
      <c r="W286" s="20" t="s">
        <v>166</v>
      </c>
      <c r="X286" s="20">
        <v>0.5</v>
      </c>
      <c r="Y286" s="20" t="s">
        <v>196</v>
      </c>
      <c r="Z286" s="20" t="s">
        <v>198</v>
      </c>
      <c r="AA286" s="33"/>
      <c r="AB286" s="50" t="s">
        <v>166</v>
      </c>
      <c r="AC286" s="50">
        <v>0.5</v>
      </c>
      <c r="AD286" s="50" t="s">
        <v>209</v>
      </c>
      <c r="AE286" s="36" t="s">
        <v>245</v>
      </c>
      <c r="AF286" s="50" t="s">
        <v>166</v>
      </c>
      <c r="AG286" s="50" t="s">
        <v>166</v>
      </c>
      <c r="AH286" s="33" t="s">
        <v>164</v>
      </c>
      <c r="AI286" s="33" t="s">
        <v>164</v>
      </c>
      <c r="AJ286" s="33" t="s">
        <v>164</v>
      </c>
      <c r="AK286" s="33" t="s">
        <v>164</v>
      </c>
      <c r="AL286" s="33" t="s">
        <v>164</v>
      </c>
      <c r="AM286" s="22"/>
      <c r="AN286" s="22"/>
      <c r="AO286" s="43">
        <f t="shared" si="23"/>
        <v>0</v>
      </c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 t="s">
        <v>164</v>
      </c>
      <c r="BF286" s="22" t="s">
        <v>164</v>
      </c>
      <c r="BG286" s="22" t="s">
        <v>164</v>
      </c>
      <c r="BH286" s="22" t="s">
        <v>164</v>
      </c>
      <c r="BI286" s="22"/>
      <c r="BJ286" s="22" t="s">
        <v>164</v>
      </c>
      <c r="BK286" s="22"/>
      <c r="BL286" s="22" t="s">
        <v>164</v>
      </c>
      <c r="BM286" s="22"/>
      <c r="BN286" s="22" t="s">
        <v>164</v>
      </c>
      <c r="BO286" s="22"/>
      <c r="BP286" s="22"/>
      <c r="BQ286" s="22"/>
      <c r="BR286" s="22" t="s">
        <v>164</v>
      </c>
      <c r="BS286" s="22"/>
      <c r="BT286" s="22" t="s">
        <v>164</v>
      </c>
      <c r="BU286" s="22"/>
      <c r="BV286" s="22"/>
      <c r="BW286" s="22"/>
      <c r="BX286" s="22" t="s">
        <v>164</v>
      </c>
      <c r="BY286" s="22"/>
      <c r="BZ286" s="22" t="s">
        <v>164</v>
      </c>
      <c r="CA286" s="22"/>
      <c r="CB286" s="22" t="s">
        <v>164</v>
      </c>
      <c r="CC286" s="22"/>
      <c r="CD286" s="22" t="s">
        <v>164</v>
      </c>
      <c r="CE286" s="33" t="s">
        <v>164</v>
      </c>
      <c r="CF286" s="33" t="s">
        <v>164</v>
      </c>
      <c r="CG286" s="33" t="s">
        <v>164</v>
      </c>
      <c r="CH286" s="33" t="s">
        <v>164</v>
      </c>
      <c r="CI286" s="33" t="s">
        <v>164</v>
      </c>
      <c r="CJ286" s="33" t="s">
        <v>164</v>
      </c>
      <c r="CK286" s="33" t="s">
        <v>164</v>
      </c>
      <c r="CL286" s="33" t="s">
        <v>164</v>
      </c>
      <c r="CM286" s="33" t="s">
        <v>164</v>
      </c>
      <c r="CN286" s="33" t="s">
        <v>164</v>
      </c>
      <c r="CO286" s="33" t="s">
        <v>164</v>
      </c>
      <c r="CP286" s="33" t="s">
        <v>164</v>
      </c>
      <c r="CQ286" s="33" t="s">
        <v>164</v>
      </c>
      <c r="CR286" s="33" t="s">
        <v>164</v>
      </c>
      <c r="CS286" s="33" t="s">
        <v>164</v>
      </c>
      <c r="CT286" s="33" t="s">
        <v>164</v>
      </c>
      <c r="CU286" s="33" t="s">
        <v>164</v>
      </c>
      <c r="CV286" s="33" t="s">
        <v>164</v>
      </c>
      <c r="CW286" s="140" t="s">
        <v>166</v>
      </c>
      <c r="CX286" s="38">
        <v>1.97</v>
      </c>
      <c r="CY286" s="38">
        <v>-1.44</v>
      </c>
      <c r="CZ286" s="50" t="s">
        <v>166</v>
      </c>
      <c r="DA286" s="33" t="s">
        <v>164</v>
      </c>
      <c r="DB286" s="33" t="s">
        <v>164</v>
      </c>
      <c r="DC286" s="33" t="s">
        <v>164</v>
      </c>
      <c r="DD286" s="33" t="s">
        <v>164</v>
      </c>
      <c r="DE286" s="33" t="s">
        <v>164</v>
      </c>
      <c r="DF286" s="33" t="s">
        <v>164</v>
      </c>
      <c r="DG286" s="33" t="s">
        <v>164</v>
      </c>
      <c r="DH286" s="33" t="s">
        <v>164</v>
      </c>
      <c r="DI286" s="33" t="s">
        <v>164</v>
      </c>
      <c r="DJ286" s="50" t="s">
        <v>166</v>
      </c>
      <c r="DK286" s="52">
        <v>0.57</v>
      </c>
      <c r="DL286" s="52">
        <v>4.35</v>
      </c>
      <c r="DM286" s="52">
        <v>44.92</v>
      </c>
      <c r="DN286" s="52">
        <v>3598.83</v>
      </c>
      <c r="DO286" s="52">
        <v>0.124032859</v>
      </c>
      <c r="DP286" s="52">
        <v>2.49</v>
      </c>
      <c r="DQ286" s="52">
        <v>1.36</v>
      </c>
      <c r="DR286" s="52">
        <v>4.46</v>
      </c>
      <c r="DS286" s="52">
        <v>37.68</v>
      </c>
      <c r="DT286" s="52">
        <v>291.05</v>
      </c>
      <c r="DU286" s="52">
        <v>0.19</v>
      </c>
      <c r="DV286" s="52">
        <v>2.31</v>
      </c>
      <c r="DW286" s="52">
        <v>1.76</v>
      </c>
      <c r="DX286" s="52">
        <v>5.39</v>
      </c>
      <c r="DY286" s="52">
        <v>0.09</v>
      </c>
      <c r="DZ286" s="52">
        <v>0.9</v>
      </c>
      <c r="EA286" s="52">
        <v>0.21</v>
      </c>
      <c r="EB286" s="52">
        <v>191.95</v>
      </c>
      <c r="EC286" s="52">
        <v>2.64</v>
      </c>
      <c r="ED286" s="52">
        <v>0.13</v>
      </c>
      <c r="EE286" s="52">
        <v>0.06</v>
      </c>
      <c r="EF286" s="52">
        <v>0.01</v>
      </c>
      <c r="EG286" s="52">
        <v>0.44</v>
      </c>
      <c r="EH286" s="52">
        <v>0.12</v>
      </c>
      <c r="EI286" s="52">
        <v>0.02</v>
      </c>
      <c r="EJ286" s="52">
        <v>2.84</v>
      </c>
      <c r="EK286" s="52">
        <v>0.83</v>
      </c>
      <c r="EL286" s="52">
        <v>0.5</v>
      </c>
      <c r="EM286" s="52">
        <v>0.57</v>
      </c>
      <c r="EN286" s="52">
        <v>0.12</v>
      </c>
      <c r="EO286" s="52">
        <v>0.03</v>
      </c>
      <c r="EP286" s="52">
        <v>0.15</v>
      </c>
      <c r="EQ286" s="52">
        <v>0.23</v>
      </c>
      <c r="ER286" s="52">
        <v>0.2</v>
      </c>
      <c r="ES286" s="52">
        <v>0.16</v>
      </c>
      <c r="ET286" s="52">
        <v>0.003074936</v>
      </c>
      <c r="EU286" s="52">
        <v>6.92</v>
      </c>
      <c r="EV286" s="52">
        <v>4.95</v>
      </c>
      <c r="EW286" s="52">
        <v>2.62</v>
      </c>
      <c r="EX286" s="52">
        <v>0.05</v>
      </c>
      <c r="EY286" s="52">
        <v>0.08</v>
      </c>
      <c r="EZ286" s="34"/>
    </row>
    <row r="287" ht="15.75" customHeight="1">
      <c r="A287" s="20" t="s">
        <v>550</v>
      </c>
      <c r="B287" s="20"/>
      <c r="C287" s="22"/>
      <c r="D287" s="22"/>
      <c r="E287" s="22"/>
      <c r="F287" s="22"/>
      <c r="G287" s="22"/>
      <c r="H287" s="22"/>
      <c r="I287" s="22"/>
      <c r="J287" s="22"/>
      <c r="K287" s="23"/>
      <c r="L287" s="23"/>
      <c r="M287" s="23"/>
      <c r="N287" s="23"/>
      <c r="O287" s="22"/>
      <c r="P287" s="24"/>
      <c r="Q287" s="24" t="str">
        <f t="shared" si="22"/>
        <v>very fine-grained, banded and veined, grey marble</v>
      </c>
      <c r="R287" s="20" t="s">
        <v>188</v>
      </c>
      <c r="S287" s="20" t="s">
        <v>181</v>
      </c>
      <c r="T287" s="20" t="s">
        <v>243</v>
      </c>
      <c r="U287" s="20" t="s">
        <v>181</v>
      </c>
      <c r="V287" s="22"/>
      <c r="W287" s="20" t="s">
        <v>166</v>
      </c>
      <c r="X287" s="20">
        <v>0.4</v>
      </c>
      <c r="Y287" s="20" t="s">
        <v>183</v>
      </c>
      <c r="Z287" s="20" t="s">
        <v>184</v>
      </c>
      <c r="AE287" s="110"/>
      <c r="AM287" s="22"/>
      <c r="AN287" s="22"/>
      <c r="AO287" s="43">
        <f t="shared" si="23"/>
        <v>0</v>
      </c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2"/>
      <c r="CW287" s="116"/>
      <c r="CX287" s="47"/>
      <c r="CY287" s="47"/>
      <c r="FA287" s="34"/>
      <c r="FB287" s="34"/>
      <c r="FC287" s="34"/>
      <c r="FD287" s="34"/>
      <c r="FE287" s="34"/>
      <c r="FF287" s="34"/>
      <c r="FG287" s="34"/>
      <c r="FH287" s="34"/>
      <c r="FI287" s="34"/>
      <c r="FJ287" s="34"/>
      <c r="FK287" s="34"/>
      <c r="FL287" s="34"/>
      <c r="FM287" s="34"/>
      <c r="FN287" s="34"/>
      <c r="FO287" s="34"/>
      <c r="FP287" s="34"/>
      <c r="FQ287" s="34"/>
      <c r="FR287" s="34"/>
      <c r="FS287" s="34"/>
      <c r="FT287" s="34"/>
      <c r="FU287" s="34"/>
      <c r="FV287" s="34"/>
      <c r="FW287" s="34"/>
      <c r="FX287" s="34"/>
      <c r="FY287" s="34"/>
      <c r="FZ287" s="34"/>
      <c r="GA287" s="34"/>
    </row>
    <row r="288" ht="15.75" customHeight="1">
      <c r="A288" s="20" t="s">
        <v>551</v>
      </c>
      <c r="B288" s="20"/>
      <c r="C288" s="22"/>
      <c r="D288" s="22"/>
      <c r="E288" s="22"/>
      <c r="F288" s="22"/>
      <c r="G288" s="22"/>
      <c r="H288" s="22"/>
      <c r="I288" s="22"/>
      <c r="J288" s="22"/>
      <c r="K288" s="23"/>
      <c r="L288" s="23"/>
      <c r="M288" s="23"/>
      <c r="N288" s="23"/>
      <c r="O288" s="22"/>
      <c r="P288" s="24"/>
      <c r="Q288" s="24"/>
      <c r="R288" s="20" t="s">
        <v>180</v>
      </c>
      <c r="S288" s="20" t="s">
        <v>189</v>
      </c>
      <c r="T288" s="20" t="s">
        <v>311</v>
      </c>
      <c r="U288" s="20" t="s">
        <v>181</v>
      </c>
      <c r="V288" s="22"/>
      <c r="W288" s="20" t="s">
        <v>166</v>
      </c>
      <c r="X288" s="20">
        <v>1.8</v>
      </c>
      <c r="Y288" s="20" t="s">
        <v>183</v>
      </c>
      <c r="Z288" s="20" t="s">
        <v>213</v>
      </c>
      <c r="AE288" s="110"/>
      <c r="AM288" s="22"/>
      <c r="AN288" s="22"/>
      <c r="AO288" s="43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22"/>
      <c r="CW288" s="116"/>
      <c r="CX288" s="47"/>
      <c r="CY288" s="47"/>
      <c r="FA288" s="34"/>
      <c r="FB288" s="34"/>
      <c r="FC288" s="34"/>
      <c r="FD288" s="34"/>
      <c r="FE288" s="34"/>
      <c r="FF288" s="34"/>
      <c r="FG288" s="34"/>
      <c r="FH288" s="34"/>
      <c r="FI288" s="34"/>
      <c r="FJ288" s="34"/>
      <c r="FK288" s="34"/>
      <c r="FL288" s="34"/>
      <c r="FM288" s="34"/>
      <c r="FN288" s="34"/>
      <c r="FO288" s="34"/>
      <c r="FP288" s="34"/>
      <c r="FQ288" s="34"/>
      <c r="FR288" s="34"/>
      <c r="FS288" s="34"/>
      <c r="FT288" s="34"/>
      <c r="FU288" s="34"/>
      <c r="FV288" s="34"/>
      <c r="FW288" s="34"/>
      <c r="FX288" s="34"/>
      <c r="FY288" s="34"/>
      <c r="FZ288" s="34"/>
      <c r="GA288" s="34"/>
    </row>
    <row r="289" ht="15.75" customHeight="1">
      <c r="A289" s="20" t="s">
        <v>552</v>
      </c>
      <c r="B289" s="20"/>
      <c r="C289" s="22"/>
      <c r="D289" s="22"/>
      <c r="E289" s="22"/>
      <c r="F289" s="22"/>
      <c r="G289" s="22"/>
      <c r="H289" s="22"/>
      <c r="I289" s="22"/>
      <c r="J289" s="22"/>
      <c r="K289" s="23"/>
      <c r="L289" s="23"/>
      <c r="M289" s="23"/>
      <c r="N289" s="23"/>
      <c r="O289" s="22"/>
      <c r="P289" s="24"/>
      <c r="Q289" s="24"/>
      <c r="R289" s="20"/>
      <c r="S289" s="20" t="s">
        <v>189</v>
      </c>
      <c r="T289" s="20" t="s">
        <v>182</v>
      </c>
      <c r="U289" s="20" t="s">
        <v>181</v>
      </c>
      <c r="V289" s="22"/>
      <c r="W289" s="20" t="s">
        <v>166</v>
      </c>
      <c r="X289" s="20" t="s">
        <v>219</v>
      </c>
      <c r="Y289" s="20" t="s">
        <v>219</v>
      </c>
      <c r="Z289" s="20" t="s">
        <v>219</v>
      </c>
      <c r="AE289" s="110"/>
      <c r="AM289" s="22"/>
      <c r="AN289" s="22"/>
      <c r="AO289" s="43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2"/>
      <c r="CW289" s="116"/>
      <c r="CX289" s="47"/>
      <c r="CY289" s="47"/>
      <c r="FA289" s="34"/>
      <c r="FB289" s="34"/>
      <c r="FC289" s="34"/>
      <c r="FD289" s="34"/>
      <c r="FE289" s="34"/>
      <c r="FF289" s="34"/>
      <c r="FG289" s="34"/>
      <c r="FH289" s="34"/>
      <c r="FI289" s="34"/>
      <c r="FJ289" s="34"/>
      <c r="FK289" s="34"/>
      <c r="FL289" s="34"/>
      <c r="FM289" s="34"/>
      <c r="FN289" s="34"/>
      <c r="FO289" s="34"/>
      <c r="FP289" s="34"/>
      <c r="FQ289" s="34"/>
      <c r="FR289" s="34"/>
      <c r="FS289" s="34"/>
      <c r="FT289" s="34"/>
      <c r="FU289" s="34"/>
      <c r="FV289" s="34"/>
      <c r="FW289" s="34"/>
      <c r="FX289" s="34"/>
      <c r="FY289" s="34"/>
      <c r="FZ289" s="34"/>
      <c r="GA289" s="34"/>
    </row>
    <row r="290" ht="15.75" customHeight="1">
      <c r="A290" s="20" t="s">
        <v>553</v>
      </c>
      <c r="B290" s="20"/>
      <c r="C290" s="22"/>
      <c r="D290" s="22"/>
      <c r="E290" s="22"/>
      <c r="F290" s="22"/>
      <c r="G290" s="22"/>
      <c r="H290" s="22"/>
      <c r="I290" s="22"/>
      <c r="J290" s="22"/>
      <c r="K290" s="23"/>
      <c r="L290" s="23"/>
      <c r="M290" s="23"/>
      <c r="N290" s="23"/>
      <c r="O290" s="22"/>
      <c r="P290" s="24"/>
      <c r="Q290" s="24"/>
      <c r="R290" s="20" t="s">
        <v>205</v>
      </c>
      <c r="S290" s="20" t="s">
        <v>189</v>
      </c>
      <c r="T290" s="20" t="s">
        <v>182</v>
      </c>
      <c r="U290" s="20" t="s">
        <v>181</v>
      </c>
      <c r="V290" s="22"/>
      <c r="W290" s="20" t="s">
        <v>166</v>
      </c>
      <c r="X290" s="20">
        <v>2.2</v>
      </c>
      <c r="Y290" s="20" t="s">
        <v>209</v>
      </c>
      <c r="Z290" s="20" t="s">
        <v>207</v>
      </c>
      <c r="AE290" s="110"/>
      <c r="AM290" s="22"/>
      <c r="AN290" s="22"/>
      <c r="AO290" s="43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22"/>
      <c r="CW290" s="116"/>
      <c r="CX290" s="47"/>
      <c r="CY290" s="47"/>
    </row>
    <row r="291" ht="15.75" customHeight="1">
      <c r="A291" s="20" t="s">
        <v>554</v>
      </c>
      <c r="B291" s="20"/>
      <c r="C291" s="22"/>
      <c r="D291" s="22"/>
      <c r="E291" s="22"/>
      <c r="F291" s="22"/>
      <c r="G291" s="22"/>
      <c r="H291" s="22"/>
      <c r="I291" s="22"/>
      <c r="J291" s="22"/>
      <c r="K291" s="23"/>
      <c r="L291" s="23"/>
      <c r="M291" s="23"/>
      <c r="N291" s="23"/>
      <c r="O291" s="22"/>
      <c r="P291" s="24"/>
      <c r="Q291" s="24"/>
      <c r="R291" s="20" t="s">
        <v>205</v>
      </c>
      <c r="S291" s="20" t="s">
        <v>189</v>
      </c>
      <c r="T291" s="20" t="s">
        <v>182</v>
      </c>
      <c r="U291" s="20" t="s">
        <v>181</v>
      </c>
      <c r="V291" s="22"/>
      <c r="W291" s="20" t="s">
        <v>166</v>
      </c>
      <c r="X291" s="20">
        <v>2.2</v>
      </c>
      <c r="Y291" s="20" t="s">
        <v>209</v>
      </c>
      <c r="Z291" s="20" t="s">
        <v>207</v>
      </c>
      <c r="AE291" s="110"/>
      <c r="AM291" s="22"/>
      <c r="AN291" s="22"/>
      <c r="AO291" s="43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2"/>
      <c r="CW291" s="116"/>
      <c r="CX291" s="47"/>
      <c r="CY291" s="47"/>
    </row>
    <row r="292" ht="15.75" customHeight="1">
      <c r="A292" s="20" t="s">
        <v>555</v>
      </c>
      <c r="B292" s="20"/>
      <c r="C292" s="22"/>
      <c r="D292" s="22"/>
      <c r="E292" s="22"/>
      <c r="F292" s="22"/>
      <c r="G292" s="22"/>
      <c r="H292" s="22"/>
      <c r="I292" s="22"/>
      <c r="J292" s="22"/>
      <c r="K292" s="23"/>
      <c r="L292" s="23"/>
      <c r="M292" s="23"/>
      <c r="N292" s="23"/>
      <c r="O292" s="22"/>
      <c r="P292" s="24"/>
      <c r="Q292" s="24"/>
      <c r="R292" s="20"/>
      <c r="S292" s="20" t="s">
        <v>181</v>
      </c>
      <c r="T292" s="20" t="s">
        <v>182</v>
      </c>
      <c r="U292" s="20" t="s">
        <v>189</v>
      </c>
      <c r="V292" s="22"/>
      <c r="W292" s="20" t="s">
        <v>166</v>
      </c>
      <c r="X292" s="20" t="s">
        <v>219</v>
      </c>
      <c r="Y292" s="20" t="s">
        <v>219</v>
      </c>
      <c r="Z292" s="20" t="s">
        <v>219</v>
      </c>
      <c r="AE292" s="110"/>
      <c r="AM292" s="22"/>
      <c r="AN292" s="22"/>
      <c r="AO292" s="43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2"/>
      <c r="CW292" s="116"/>
      <c r="CX292" s="47"/>
      <c r="CY292" s="47"/>
    </row>
    <row r="293" ht="15.75" customHeight="1">
      <c r="A293" s="20" t="s">
        <v>556</v>
      </c>
      <c r="B293" s="20"/>
      <c r="C293" s="22"/>
      <c r="D293" s="22"/>
      <c r="E293" s="22"/>
      <c r="F293" s="22"/>
      <c r="G293" s="22"/>
      <c r="H293" s="22"/>
      <c r="I293" s="22"/>
      <c r="J293" s="22"/>
      <c r="K293" s="23"/>
      <c r="L293" s="23"/>
      <c r="M293" s="23"/>
      <c r="N293" s="23"/>
      <c r="O293" s="22"/>
      <c r="P293" s="24"/>
      <c r="Q293" s="24"/>
      <c r="R293" s="20" t="s">
        <v>180</v>
      </c>
      <c r="S293" s="20" t="s">
        <v>189</v>
      </c>
      <c r="T293" s="20" t="s">
        <v>182</v>
      </c>
      <c r="U293" s="20" t="s">
        <v>181</v>
      </c>
      <c r="V293" s="20"/>
      <c r="W293" s="20" t="s">
        <v>166</v>
      </c>
      <c r="X293" s="20">
        <v>1.5</v>
      </c>
      <c r="Y293" s="20" t="s">
        <v>209</v>
      </c>
      <c r="Z293" s="20" t="s">
        <v>228</v>
      </c>
      <c r="AE293" s="110"/>
      <c r="AM293" s="22"/>
      <c r="AN293" s="22"/>
      <c r="AO293" s="43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  <c r="CD293" s="22"/>
      <c r="CW293" s="116"/>
      <c r="CX293" s="47"/>
      <c r="CY293" s="47"/>
    </row>
    <row r="294" ht="15.75" customHeight="1">
      <c r="A294" s="20" t="s">
        <v>557</v>
      </c>
      <c r="B294" s="20"/>
      <c r="C294" s="22"/>
      <c r="D294" s="22"/>
      <c r="E294" s="22"/>
      <c r="F294" s="22"/>
      <c r="G294" s="22"/>
      <c r="H294" s="22"/>
      <c r="I294" s="22"/>
      <c r="J294" s="22"/>
      <c r="K294" s="23"/>
      <c r="L294" s="23"/>
      <c r="M294" s="23"/>
      <c r="N294" s="23"/>
      <c r="O294" s="22"/>
      <c r="P294" s="24"/>
      <c r="Q294" s="24"/>
      <c r="R294" s="20" t="s">
        <v>188</v>
      </c>
      <c r="S294" s="20" t="s">
        <v>189</v>
      </c>
      <c r="T294" s="20" t="s">
        <v>206</v>
      </c>
      <c r="U294" s="20" t="s">
        <v>181</v>
      </c>
      <c r="V294" s="22"/>
      <c r="W294" s="20" t="s">
        <v>166</v>
      </c>
      <c r="X294" s="20">
        <v>0.3</v>
      </c>
      <c r="Y294" s="20" t="s">
        <v>196</v>
      </c>
      <c r="Z294" s="20" t="s">
        <v>219</v>
      </c>
      <c r="AE294" s="110"/>
      <c r="AM294" s="22"/>
      <c r="AN294" s="22"/>
      <c r="AO294" s="43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  <c r="CD294" s="22"/>
      <c r="CW294" s="116"/>
      <c r="CX294" s="47"/>
      <c r="CY294" s="47"/>
    </row>
    <row r="295" ht="15.75" customHeight="1">
      <c r="A295" s="20" t="s">
        <v>558</v>
      </c>
      <c r="B295" s="20"/>
      <c r="C295" s="22"/>
      <c r="D295" s="22"/>
      <c r="E295" s="22"/>
      <c r="F295" s="22"/>
      <c r="G295" s="22"/>
      <c r="H295" s="22"/>
      <c r="I295" s="22"/>
      <c r="J295" s="22"/>
      <c r="K295" s="23"/>
      <c r="L295" s="23"/>
      <c r="M295" s="23"/>
      <c r="N295" s="23"/>
      <c r="O295" s="22"/>
      <c r="P295" s="24"/>
      <c r="Q295" s="24"/>
      <c r="R295" s="20" t="s">
        <v>180</v>
      </c>
      <c r="S295" s="20" t="s">
        <v>181</v>
      </c>
      <c r="T295" s="20" t="s">
        <v>182</v>
      </c>
      <c r="U295" s="20" t="s">
        <v>189</v>
      </c>
      <c r="V295" s="22"/>
      <c r="W295" s="20" t="s">
        <v>166</v>
      </c>
      <c r="X295" s="20">
        <v>1.5</v>
      </c>
      <c r="Y295" s="20" t="s">
        <v>219</v>
      </c>
      <c r="Z295" s="20" t="s">
        <v>219</v>
      </c>
      <c r="AE295" s="110"/>
      <c r="AM295" s="22"/>
      <c r="AN295" s="22"/>
      <c r="AO295" s="43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  <c r="CD295" s="22"/>
      <c r="CW295" s="116"/>
      <c r="CX295" s="47"/>
      <c r="CY295" s="47"/>
    </row>
    <row r="296" ht="15.75" customHeight="1">
      <c r="A296" s="20" t="s">
        <v>559</v>
      </c>
      <c r="B296" s="20"/>
      <c r="C296" s="22"/>
      <c r="D296" s="22"/>
      <c r="E296" s="22"/>
      <c r="F296" s="22"/>
      <c r="G296" s="22"/>
      <c r="H296" s="22"/>
      <c r="I296" s="22"/>
      <c r="J296" s="22"/>
      <c r="K296" s="23"/>
      <c r="L296" s="23"/>
      <c r="M296" s="23"/>
      <c r="N296" s="23"/>
      <c r="O296" s="22"/>
      <c r="P296" s="24"/>
      <c r="Q296" s="24"/>
      <c r="R296" s="20" t="s">
        <v>180</v>
      </c>
      <c r="S296" s="20" t="s">
        <v>189</v>
      </c>
      <c r="T296" s="20" t="s">
        <v>194</v>
      </c>
      <c r="U296" s="20" t="s">
        <v>195</v>
      </c>
      <c r="V296" s="22"/>
      <c r="W296" s="20" t="s">
        <v>166</v>
      </c>
      <c r="X296" s="20">
        <v>1.0</v>
      </c>
      <c r="Y296" s="20" t="s">
        <v>196</v>
      </c>
      <c r="Z296" s="20" t="s">
        <v>219</v>
      </c>
      <c r="AE296" s="110"/>
      <c r="AM296" s="22"/>
      <c r="AN296" s="22"/>
      <c r="AO296" s="43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  <c r="CD296" s="22"/>
      <c r="CW296" s="116"/>
      <c r="CX296" s="47"/>
      <c r="CY296" s="47"/>
    </row>
    <row r="297" ht="15.75" customHeight="1">
      <c r="A297" s="20" t="s">
        <v>560</v>
      </c>
      <c r="B297" s="20"/>
      <c r="C297" s="22"/>
      <c r="D297" s="22"/>
      <c r="E297" s="22"/>
      <c r="F297" s="22"/>
      <c r="G297" s="22"/>
      <c r="H297" s="22"/>
      <c r="I297" s="22"/>
      <c r="J297" s="22"/>
      <c r="K297" s="23"/>
      <c r="L297" s="23"/>
      <c r="M297" s="23"/>
      <c r="N297" s="23"/>
      <c r="O297" s="22"/>
      <c r="P297" s="24"/>
      <c r="Q297" s="24"/>
      <c r="R297" s="20" t="s">
        <v>180</v>
      </c>
      <c r="S297" s="20" t="s">
        <v>181</v>
      </c>
      <c r="T297" s="20" t="s">
        <v>182</v>
      </c>
      <c r="U297" s="20" t="s">
        <v>189</v>
      </c>
      <c r="V297" s="22"/>
      <c r="W297" s="20" t="s">
        <v>166</v>
      </c>
      <c r="X297" s="20">
        <v>1.7</v>
      </c>
      <c r="Y297" s="20" t="s">
        <v>183</v>
      </c>
      <c r="Z297" s="20" t="s">
        <v>213</v>
      </c>
      <c r="AC297" s="44"/>
      <c r="AE297" s="110"/>
      <c r="AM297" s="22"/>
      <c r="AN297" s="22"/>
      <c r="AO297" s="43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  <c r="CD297" s="22"/>
      <c r="CW297" s="116"/>
      <c r="CX297" s="47"/>
      <c r="CY297" s="47"/>
    </row>
    <row r="298" ht="15.75" customHeight="1">
      <c r="A298" s="20" t="s">
        <v>561</v>
      </c>
      <c r="B298" s="20"/>
      <c r="C298" s="22"/>
      <c r="D298" s="22"/>
      <c r="E298" s="22"/>
      <c r="F298" s="22"/>
      <c r="G298" s="22"/>
      <c r="H298" s="22"/>
      <c r="I298" s="22"/>
      <c r="J298" s="22"/>
      <c r="K298" s="23"/>
      <c r="L298" s="23"/>
      <c r="M298" s="23"/>
      <c r="N298" s="23"/>
      <c r="O298" s="22"/>
      <c r="P298" s="24"/>
      <c r="Q298" s="24"/>
      <c r="R298" s="20"/>
      <c r="S298" s="20" t="s">
        <v>181</v>
      </c>
      <c r="T298" s="20" t="s">
        <v>182</v>
      </c>
      <c r="U298" s="20" t="s">
        <v>189</v>
      </c>
      <c r="V298" s="22"/>
      <c r="W298" s="20" t="s">
        <v>190</v>
      </c>
      <c r="X298" s="20"/>
      <c r="Y298" s="20"/>
      <c r="Z298" s="20"/>
      <c r="AE298" s="110"/>
      <c r="AM298" s="22"/>
      <c r="AN298" s="22"/>
      <c r="AO298" s="43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2"/>
      <c r="CA298" s="22"/>
      <c r="CB298" s="22"/>
      <c r="CC298" s="22"/>
      <c r="CD298" s="22"/>
      <c r="CW298" s="116"/>
      <c r="CX298" s="47"/>
      <c r="CY298" s="47"/>
    </row>
    <row r="299" ht="15.75" customHeight="1">
      <c r="A299" s="20" t="s">
        <v>562</v>
      </c>
      <c r="B299" s="20"/>
      <c r="C299" s="22"/>
      <c r="D299" s="22"/>
      <c r="E299" s="22"/>
      <c r="F299" s="22"/>
      <c r="G299" s="22"/>
      <c r="H299" s="22"/>
      <c r="I299" s="22"/>
      <c r="J299" s="22"/>
      <c r="K299" s="23"/>
      <c r="L299" s="23"/>
      <c r="M299" s="23"/>
      <c r="N299" s="23"/>
      <c r="O299" s="22"/>
      <c r="P299" s="24"/>
      <c r="Q299" s="24"/>
      <c r="R299" s="20"/>
      <c r="S299" s="20" t="s">
        <v>189</v>
      </c>
      <c r="T299" s="20" t="s">
        <v>194</v>
      </c>
      <c r="U299" s="20" t="s">
        <v>195</v>
      </c>
      <c r="V299" s="22"/>
      <c r="W299" s="20" t="s">
        <v>166</v>
      </c>
      <c r="X299" s="20">
        <v>1.0</v>
      </c>
      <c r="Y299" s="20" t="s">
        <v>219</v>
      </c>
      <c r="Z299" s="20" t="s">
        <v>219</v>
      </c>
      <c r="AE299" s="110"/>
      <c r="AM299" s="22"/>
      <c r="AN299" s="22"/>
      <c r="AO299" s="43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  <c r="CD299" s="22"/>
      <c r="CW299" s="116"/>
      <c r="CX299" s="47"/>
      <c r="CY299" s="47"/>
    </row>
    <row r="300" ht="15.75" customHeight="1">
      <c r="A300" s="20" t="s">
        <v>563</v>
      </c>
      <c r="B300" s="20"/>
      <c r="C300" s="22"/>
      <c r="D300" s="22"/>
      <c r="E300" s="22"/>
      <c r="F300" s="22"/>
      <c r="G300" s="22"/>
      <c r="H300" s="22"/>
      <c r="I300" s="22"/>
      <c r="J300" s="22"/>
      <c r="K300" s="23"/>
      <c r="L300" s="23"/>
      <c r="M300" s="23"/>
      <c r="N300" s="23"/>
      <c r="O300" s="22"/>
      <c r="P300" s="24"/>
      <c r="Q300" s="24"/>
      <c r="R300" s="20"/>
      <c r="S300" s="20"/>
      <c r="T300" s="20"/>
      <c r="U300" s="20"/>
      <c r="V300" s="22"/>
      <c r="W300" s="20"/>
      <c r="X300" s="20"/>
      <c r="Y300" s="20"/>
      <c r="Z300" s="20"/>
      <c r="AE300" s="110"/>
      <c r="AM300" s="22"/>
      <c r="AN300" s="22"/>
      <c r="AO300" s="43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2"/>
      <c r="CA300" s="22"/>
      <c r="CB300" s="22"/>
      <c r="CC300" s="22"/>
      <c r="CD300" s="22"/>
      <c r="CW300" s="116"/>
      <c r="CX300" s="47"/>
      <c r="CY300" s="47"/>
    </row>
    <row r="301" ht="15.75" customHeight="1">
      <c r="A301" s="20" t="s">
        <v>564</v>
      </c>
      <c r="B301" s="20"/>
      <c r="C301" s="22"/>
      <c r="D301" s="22"/>
      <c r="E301" s="22"/>
      <c r="F301" s="22"/>
      <c r="G301" s="22"/>
      <c r="H301" s="22"/>
      <c r="I301" s="22"/>
      <c r="J301" s="22"/>
      <c r="K301" s="23"/>
      <c r="L301" s="23"/>
      <c r="M301" s="23"/>
      <c r="N301" s="23"/>
      <c r="O301" s="22"/>
      <c r="P301" s="24"/>
      <c r="Q301" s="24"/>
      <c r="R301" s="20"/>
      <c r="S301" s="20"/>
      <c r="T301" s="20"/>
      <c r="U301" s="20"/>
      <c r="V301" s="22"/>
      <c r="W301" s="20"/>
      <c r="X301" s="20"/>
      <c r="Y301" s="20"/>
      <c r="Z301" s="20"/>
      <c r="AE301" s="110"/>
      <c r="AM301" s="22"/>
      <c r="AN301" s="22"/>
      <c r="AO301" s="43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22"/>
      <c r="CD301" s="22"/>
      <c r="CW301" s="116"/>
      <c r="CX301" s="47"/>
      <c r="CY301" s="47"/>
    </row>
    <row r="302" ht="15.75" customHeight="1">
      <c r="A302" s="20" t="s">
        <v>565</v>
      </c>
      <c r="B302" s="20"/>
      <c r="C302" s="22"/>
      <c r="D302" s="22"/>
      <c r="E302" s="22"/>
      <c r="F302" s="22"/>
      <c r="G302" s="22"/>
      <c r="H302" s="22"/>
      <c r="I302" s="22"/>
      <c r="J302" s="22"/>
      <c r="K302" s="23"/>
      <c r="L302" s="23"/>
      <c r="M302" s="23"/>
      <c r="N302" s="23"/>
      <c r="O302" s="22"/>
      <c r="P302" s="24"/>
      <c r="Q302" s="24"/>
      <c r="R302" s="20" t="s">
        <v>188</v>
      </c>
      <c r="S302" s="20" t="s">
        <v>181</v>
      </c>
      <c r="T302" s="20" t="s">
        <v>243</v>
      </c>
      <c r="U302" s="20" t="s">
        <v>233</v>
      </c>
      <c r="V302" s="22"/>
      <c r="W302" s="20" t="s">
        <v>166</v>
      </c>
      <c r="X302" s="20">
        <v>0.6</v>
      </c>
      <c r="Y302" s="20" t="s">
        <v>196</v>
      </c>
      <c r="Z302" s="20" t="s">
        <v>198</v>
      </c>
      <c r="AE302" s="110"/>
      <c r="AM302" s="22"/>
      <c r="AN302" s="22"/>
      <c r="AO302" s="43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2"/>
      <c r="CA302" s="22"/>
      <c r="CB302" s="22"/>
      <c r="CC302" s="22"/>
      <c r="CD302" s="22"/>
      <c r="CW302" s="116"/>
      <c r="CX302" s="47"/>
      <c r="CY302" s="47"/>
    </row>
    <row r="303" ht="15.75" customHeight="1">
      <c r="A303" s="20" t="s">
        <v>566</v>
      </c>
      <c r="B303" s="20"/>
      <c r="C303" s="22"/>
      <c r="D303" s="22"/>
      <c r="E303" s="22"/>
      <c r="F303" s="22"/>
      <c r="G303" s="22"/>
      <c r="H303" s="22"/>
      <c r="I303" s="22"/>
      <c r="J303" s="22"/>
      <c r="K303" s="23"/>
      <c r="L303" s="23"/>
      <c r="M303" s="23"/>
      <c r="N303" s="23"/>
      <c r="O303" s="22"/>
      <c r="P303" s="24"/>
      <c r="Q303" s="24"/>
      <c r="R303" s="20" t="s">
        <v>180</v>
      </c>
      <c r="S303" s="20" t="s">
        <v>189</v>
      </c>
      <c r="T303" s="20" t="s">
        <v>474</v>
      </c>
      <c r="U303" s="20" t="s">
        <v>233</v>
      </c>
      <c r="V303" s="22"/>
      <c r="W303" s="20" t="s">
        <v>166</v>
      </c>
      <c r="X303" s="20">
        <v>0.9</v>
      </c>
      <c r="Y303" s="20" t="s">
        <v>209</v>
      </c>
      <c r="Z303" s="20" t="s">
        <v>207</v>
      </c>
      <c r="AE303" s="110"/>
      <c r="AM303" s="22"/>
      <c r="AN303" s="22"/>
      <c r="AO303" s="43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  <c r="BZ303" s="22"/>
      <c r="CA303" s="22"/>
      <c r="CB303" s="22"/>
      <c r="CC303" s="22"/>
      <c r="CD303" s="22"/>
      <c r="CW303" s="116"/>
      <c r="CX303" s="47"/>
      <c r="CY303" s="47"/>
    </row>
    <row r="304" ht="15.75" customHeight="1">
      <c r="A304" s="20" t="s">
        <v>567</v>
      </c>
      <c r="B304" s="20"/>
      <c r="C304" s="22"/>
      <c r="D304" s="22"/>
      <c r="E304" s="22"/>
      <c r="F304" s="22"/>
      <c r="G304" s="22"/>
      <c r="H304" s="22"/>
      <c r="I304" s="22"/>
      <c r="J304" s="22"/>
      <c r="K304" s="23"/>
      <c r="L304" s="23"/>
      <c r="M304" s="23"/>
      <c r="N304" s="23"/>
      <c r="O304" s="22"/>
      <c r="P304" s="24"/>
      <c r="Q304" s="24"/>
      <c r="R304" s="20" t="s">
        <v>205</v>
      </c>
      <c r="S304" s="20" t="s">
        <v>189</v>
      </c>
      <c r="T304" s="20" t="s">
        <v>194</v>
      </c>
      <c r="U304" s="20" t="s">
        <v>195</v>
      </c>
      <c r="V304" s="22"/>
      <c r="W304" s="20" t="s">
        <v>166</v>
      </c>
      <c r="X304" s="20">
        <v>2.1</v>
      </c>
      <c r="Y304" s="20" t="s">
        <v>196</v>
      </c>
      <c r="Z304" s="20" t="s">
        <v>213</v>
      </c>
      <c r="AE304" s="110"/>
      <c r="AM304" s="22"/>
      <c r="AN304" s="22"/>
      <c r="AO304" s="43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22"/>
      <c r="CD304" s="22"/>
      <c r="CW304" s="116"/>
      <c r="CX304" s="47"/>
      <c r="CY304" s="47"/>
    </row>
    <row r="305" ht="15.75" customHeight="1">
      <c r="A305" s="20" t="s">
        <v>568</v>
      </c>
      <c r="B305" s="20"/>
      <c r="C305" s="22"/>
      <c r="D305" s="22"/>
      <c r="E305" s="22"/>
      <c r="F305" s="22"/>
      <c r="G305" s="22"/>
      <c r="H305" s="22"/>
      <c r="I305" s="22"/>
      <c r="J305" s="22"/>
      <c r="K305" s="23"/>
      <c r="L305" s="23"/>
      <c r="M305" s="23"/>
      <c r="N305" s="23"/>
      <c r="O305" s="22"/>
      <c r="P305" s="24"/>
      <c r="Q305" s="24"/>
      <c r="R305" s="20" t="s">
        <v>205</v>
      </c>
      <c r="S305" s="20" t="s">
        <v>181</v>
      </c>
      <c r="T305" s="20" t="s">
        <v>569</v>
      </c>
      <c r="U305" s="20" t="s">
        <v>254</v>
      </c>
      <c r="V305" s="22"/>
      <c r="W305" s="20" t="s">
        <v>166</v>
      </c>
      <c r="X305" s="20">
        <v>1.7</v>
      </c>
      <c r="Y305" s="20" t="s">
        <v>191</v>
      </c>
      <c r="Z305" s="20" t="s">
        <v>213</v>
      </c>
      <c r="AE305" s="110"/>
      <c r="AM305" s="22"/>
      <c r="AN305" s="22"/>
      <c r="AO305" s="43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2"/>
      <c r="CA305" s="22"/>
      <c r="CB305" s="22"/>
      <c r="CC305" s="22"/>
      <c r="CD305" s="22"/>
      <c r="CW305" s="116"/>
      <c r="CX305" s="47"/>
      <c r="CY305" s="47"/>
    </row>
    <row r="306" ht="15.75" customHeight="1">
      <c r="A306" s="20" t="s">
        <v>570</v>
      </c>
      <c r="B306" s="20"/>
      <c r="C306" s="22"/>
      <c r="D306" s="22"/>
      <c r="E306" s="22"/>
      <c r="F306" s="22"/>
      <c r="G306" s="22"/>
      <c r="H306" s="22"/>
      <c r="I306" s="22"/>
      <c r="J306" s="22"/>
      <c r="K306" s="23"/>
      <c r="L306" s="23"/>
      <c r="M306" s="23"/>
      <c r="N306" s="23"/>
      <c r="O306" s="22"/>
      <c r="P306" s="24"/>
      <c r="Q306" s="24"/>
      <c r="R306" s="20" t="s">
        <v>188</v>
      </c>
      <c r="S306" s="20" t="s">
        <v>189</v>
      </c>
      <c r="T306" s="20" t="s">
        <v>474</v>
      </c>
      <c r="U306" s="20" t="s">
        <v>233</v>
      </c>
      <c r="V306" s="22"/>
      <c r="W306" s="20" t="s">
        <v>166</v>
      </c>
      <c r="X306" s="20">
        <v>0.6</v>
      </c>
      <c r="Y306" s="20" t="s">
        <v>209</v>
      </c>
      <c r="Z306" s="20" t="s">
        <v>213</v>
      </c>
      <c r="AE306" s="110"/>
      <c r="AM306" s="22"/>
      <c r="AN306" s="22"/>
      <c r="AO306" s="43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2"/>
      <c r="BY306" s="22"/>
      <c r="BZ306" s="22"/>
      <c r="CA306" s="22"/>
      <c r="CB306" s="22"/>
      <c r="CC306" s="22"/>
      <c r="CD306" s="22"/>
      <c r="CW306" s="116"/>
      <c r="CX306" s="47"/>
      <c r="CY306" s="47"/>
    </row>
    <row r="307" ht="15.75" customHeight="1">
      <c r="A307" s="20" t="s">
        <v>571</v>
      </c>
      <c r="B307" s="20"/>
      <c r="C307" s="22"/>
      <c r="D307" s="22"/>
      <c r="E307" s="22"/>
      <c r="F307" s="22"/>
      <c r="G307" s="22"/>
      <c r="H307" s="22"/>
      <c r="I307" s="22"/>
      <c r="J307" s="22"/>
      <c r="K307" s="23"/>
      <c r="L307" s="23"/>
      <c r="M307" s="23"/>
      <c r="N307" s="23"/>
      <c r="O307" s="22"/>
      <c r="P307" s="24"/>
      <c r="Q307" s="24"/>
      <c r="R307" s="20" t="s">
        <v>188</v>
      </c>
      <c r="S307" s="20" t="s">
        <v>181</v>
      </c>
      <c r="T307" s="20" t="s">
        <v>182</v>
      </c>
      <c r="U307" s="20" t="s">
        <v>189</v>
      </c>
      <c r="V307" s="22"/>
      <c r="W307" s="20" t="s">
        <v>166</v>
      </c>
      <c r="X307" s="20">
        <v>0.6</v>
      </c>
      <c r="Y307" s="20" t="s">
        <v>196</v>
      </c>
      <c r="Z307" s="20" t="s">
        <v>245</v>
      </c>
      <c r="AE307" s="110"/>
      <c r="AM307" s="22"/>
      <c r="AN307" s="22"/>
      <c r="AO307" s="43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  <c r="CD307" s="22"/>
      <c r="CW307" s="116"/>
      <c r="CX307" s="47"/>
      <c r="CY307" s="47"/>
    </row>
    <row r="308" ht="15.75" customHeight="1">
      <c r="A308" s="20" t="s">
        <v>572</v>
      </c>
      <c r="B308" s="20"/>
      <c r="C308" s="22"/>
      <c r="D308" s="22"/>
      <c r="E308" s="22"/>
      <c r="F308" s="22"/>
      <c r="G308" s="22"/>
      <c r="H308" s="22"/>
      <c r="I308" s="22"/>
      <c r="J308" s="22"/>
      <c r="K308" s="23"/>
      <c r="L308" s="23"/>
      <c r="M308" s="23"/>
      <c r="N308" s="23"/>
      <c r="O308" s="22"/>
      <c r="P308" s="24"/>
      <c r="Q308" s="24" t="str">
        <f t="shared" ref="Q308:Q372" si="24">CONCATENATE(R308, "-grained, ", T308, ", ", S308," marble")</f>
        <v>fine-grained, homogeneous, white marble</v>
      </c>
      <c r="R308" s="20" t="s">
        <v>180</v>
      </c>
      <c r="S308" s="20" t="s">
        <v>189</v>
      </c>
      <c r="T308" s="20" t="s">
        <v>194</v>
      </c>
      <c r="U308" s="20" t="s">
        <v>195</v>
      </c>
      <c r="V308" s="22"/>
      <c r="W308" s="20" t="s">
        <v>166</v>
      </c>
      <c r="X308" s="20">
        <v>0.9</v>
      </c>
      <c r="Y308" s="20" t="s">
        <v>209</v>
      </c>
      <c r="Z308" s="20" t="s">
        <v>219</v>
      </c>
      <c r="AE308" s="110"/>
      <c r="AM308" s="22"/>
      <c r="AN308" s="22"/>
      <c r="AO308" s="43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2"/>
      <c r="CB308" s="22"/>
      <c r="CC308" s="22"/>
      <c r="CD308" s="22"/>
      <c r="CW308" s="116"/>
      <c r="CX308" s="47"/>
      <c r="CY308" s="47"/>
    </row>
    <row r="309" ht="15.75" customHeight="1">
      <c r="A309" s="20" t="s">
        <v>573</v>
      </c>
      <c r="B309" s="20"/>
      <c r="C309" s="22"/>
      <c r="D309" s="22"/>
      <c r="E309" s="22"/>
      <c r="F309" s="22"/>
      <c r="G309" s="22"/>
      <c r="H309" s="22"/>
      <c r="I309" s="22"/>
      <c r="J309" s="22"/>
      <c r="K309" s="23"/>
      <c r="L309" s="23"/>
      <c r="M309" s="23"/>
      <c r="N309" s="23"/>
      <c r="O309" s="22"/>
      <c r="P309" s="24"/>
      <c r="Q309" s="24" t="str">
        <f t="shared" si="24"/>
        <v>fine-grained, banded and veined, white marble</v>
      </c>
      <c r="R309" s="20" t="s">
        <v>180</v>
      </c>
      <c r="S309" s="20" t="s">
        <v>189</v>
      </c>
      <c r="T309" s="20" t="s">
        <v>243</v>
      </c>
      <c r="U309" s="20" t="s">
        <v>181</v>
      </c>
      <c r="V309" s="22"/>
      <c r="W309" s="20" t="s">
        <v>166</v>
      </c>
      <c r="X309" s="20" t="s">
        <v>219</v>
      </c>
      <c r="Y309" s="20" t="s">
        <v>219</v>
      </c>
      <c r="Z309" s="20" t="s">
        <v>219</v>
      </c>
      <c r="AE309" s="110"/>
      <c r="AM309" s="22"/>
      <c r="AN309" s="22"/>
      <c r="AO309" s="43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  <c r="CD309" s="22"/>
      <c r="CW309" s="116"/>
      <c r="CX309" s="47"/>
      <c r="CY309" s="47"/>
    </row>
    <row r="310" ht="15.75" customHeight="1">
      <c r="A310" s="20" t="s">
        <v>574</v>
      </c>
      <c r="B310" s="20"/>
      <c r="C310" s="22"/>
      <c r="D310" s="22"/>
      <c r="E310" s="22"/>
      <c r="F310" s="22"/>
      <c r="G310" s="22"/>
      <c r="H310" s="22"/>
      <c r="I310" s="22"/>
      <c r="J310" s="22"/>
      <c r="K310" s="23"/>
      <c r="L310" s="23"/>
      <c r="M310" s="23"/>
      <c r="N310" s="23"/>
      <c r="O310" s="22"/>
      <c r="P310" s="24"/>
      <c r="Q310" s="24" t="str">
        <f t="shared" si="24"/>
        <v>medium-grained, banded and veined, white marble</v>
      </c>
      <c r="R310" s="20" t="s">
        <v>205</v>
      </c>
      <c r="S310" s="20" t="s">
        <v>189</v>
      </c>
      <c r="T310" s="20" t="s">
        <v>243</v>
      </c>
      <c r="U310" s="20" t="s">
        <v>181</v>
      </c>
      <c r="V310" s="22"/>
      <c r="W310" s="20" t="s">
        <v>166</v>
      </c>
      <c r="X310" s="20">
        <v>2.7</v>
      </c>
      <c r="Y310" s="20" t="s">
        <v>219</v>
      </c>
      <c r="Z310" s="20" t="s">
        <v>219</v>
      </c>
      <c r="AE310" s="110"/>
      <c r="AM310" s="22"/>
      <c r="AN310" s="22"/>
      <c r="AO310" s="43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2"/>
      <c r="CA310" s="22"/>
      <c r="CB310" s="22"/>
      <c r="CC310" s="22"/>
      <c r="CD310" s="22"/>
      <c r="CW310" s="116"/>
      <c r="CX310" s="47"/>
      <c r="CY310" s="47"/>
    </row>
    <row r="311" ht="15.75" customHeight="1">
      <c r="A311" s="20" t="s">
        <v>575</v>
      </c>
      <c r="B311" s="20"/>
      <c r="C311" s="22"/>
      <c r="D311" s="22"/>
      <c r="E311" s="22"/>
      <c r="F311" s="22"/>
      <c r="G311" s="22"/>
      <c r="H311" s="22"/>
      <c r="I311" s="22"/>
      <c r="J311" s="22"/>
      <c r="K311" s="23"/>
      <c r="L311" s="23"/>
      <c r="M311" s="23"/>
      <c r="N311" s="23"/>
      <c r="O311" s="22"/>
      <c r="P311" s="24"/>
      <c r="Q311" s="24" t="str">
        <f t="shared" si="24"/>
        <v>very fine-grained, homogeneous, white marble</v>
      </c>
      <c r="R311" s="20" t="s">
        <v>188</v>
      </c>
      <c r="S311" s="20" t="s">
        <v>189</v>
      </c>
      <c r="T311" s="20" t="s">
        <v>194</v>
      </c>
      <c r="U311" s="20" t="s">
        <v>195</v>
      </c>
      <c r="V311" s="22"/>
      <c r="W311" s="20" t="s">
        <v>166</v>
      </c>
      <c r="X311" s="20">
        <v>0.5</v>
      </c>
      <c r="Y311" s="20" t="s">
        <v>209</v>
      </c>
      <c r="Z311" s="20" t="s">
        <v>198</v>
      </c>
      <c r="AE311" s="110"/>
      <c r="AM311" s="22"/>
      <c r="AN311" s="22"/>
      <c r="AO311" s="43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  <c r="BV311" s="22"/>
      <c r="BW311" s="22"/>
      <c r="BX311" s="22"/>
      <c r="BY311" s="22"/>
      <c r="BZ311" s="22"/>
      <c r="CA311" s="22"/>
      <c r="CB311" s="22"/>
      <c r="CC311" s="22"/>
      <c r="CD311" s="22"/>
      <c r="CW311" s="116"/>
      <c r="CX311" s="47"/>
      <c r="CY311" s="47"/>
    </row>
    <row r="312" ht="15.75" customHeight="1">
      <c r="A312" s="20" t="s">
        <v>576</v>
      </c>
      <c r="B312" s="20"/>
      <c r="C312" s="22"/>
      <c r="D312" s="22"/>
      <c r="E312" s="22"/>
      <c r="F312" s="22"/>
      <c r="G312" s="22"/>
      <c r="H312" s="22"/>
      <c r="I312" s="22"/>
      <c r="J312" s="22"/>
      <c r="K312" s="23"/>
      <c r="L312" s="23"/>
      <c r="M312" s="23"/>
      <c r="N312" s="23"/>
      <c r="O312" s="22"/>
      <c r="P312" s="24"/>
      <c r="Q312" s="24" t="str">
        <f t="shared" si="24"/>
        <v>fine-grained, banded and veined, white marble</v>
      </c>
      <c r="R312" s="20" t="s">
        <v>180</v>
      </c>
      <c r="S312" s="20" t="s">
        <v>189</v>
      </c>
      <c r="T312" s="20" t="s">
        <v>243</v>
      </c>
      <c r="U312" s="20" t="s">
        <v>181</v>
      </c>
      <c r="V312" s="22"/>
      <c r="W312" s="20" t="s">
        <v>166</v>
      </c>
      <c r="X312" s="20">
        <v>0.7</v>
      </c>
      <c r="Y312" s="20" t="s">
        <v>209</v>
      </c>
      <c r="Z312" s="20" t="s">
        <v>184</v>
      </c>
      <c r="AE312" s="110"/>
      <c r="AM312" s="22"/>
      <c r="AN312" s="22"/>
      <c r="AO312" s="43">
        <f t="shared" ref="AO312:AO368" si="25">SUM(AP312,AQ312,AR312)</f>
        <v>0</v>
      </c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2"/>
      <c r="CA312" s="22"/>
      <c r="CB312" s="22"/>
      <c r="CC312" s="22"/>
      <c r="CD312" s="22"/>
      <c r="CW312" s="116"/>
      <c r="CX312" s="47"/>
      <c r="CY312" s="47"/>
    </row>
    <row r="313" ht="15.75" customHeight="1">
      <c r="A313" s="20" t="s">
        <v>577</v>
      </c>
      <c r="B313" s="20"/>
      <c r="C313" s="22"/>
      <c r="D313" s="22"/>
      <c r="E313" s="22"/>
      <c r="F313" s="22"/>
      <c r="G313" s="22"/>
      <c r="H313" s="22"/>
      <c r="I313" s="22"/>
      <c r="J313" s="22"/>
      <c r="K313" s="23"/>
      <c r="L313" s="23"/>
      <c r="M313" s="23"/>
      <c r="N313" s="23"/>
      <c r="O313" s="22"/>
      <c r="P313" s="24"/>
      <c r="Q313" s="24" t="str">
        <f t="shared" si="24"/>
        <v>fine-grained, veined, white marble</v>
      </c>
      <c r="R313" s="20" t="s">
        <v>180</v>
      </c>
      <c r="S313" s="20" t="s">
        <v>189</v>
      </c>
      <c r="T313" s="20" t="s">
        <v>206</v>
      </c>
      <c r="U313" s="20" t="s">
        <v>181</v>
      </c>
      <c r="V313" s="22"/>
      <c r="W313" s="20" t="s">
        <v>166</v>
      </c>
      <c r="X313" s="20">
        <v>0.3</v>
      </c>
      <c r="Y313" s="20" t="s">
        <v>209</v>
      </c>
      <c r="Z313" s="20" t="s">
        <v>198</v>
      </c>
      <c r="AE313" s="110"/>
      <c r="AM313" s="22"/>
      <c r="AN313" s="22"/>
      <c r="AO313" s="43">
        <f t="shared" si="25"/>
        <v>0</v>
      </c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  <c r="BZ313" s="22"/>
      <c r="CA313" s="22"/>
      <c r="CB313" s="22"/>
      <c r="CC313" s="22"/>
      <c r="CD313" s="22"/>
      <c r="CW313" s="116"/>
      <c r="CX313" s="47"/>
      <c r="CY313" s="47"/>
    </row>
    <row r="314" ht="15.75" customHeight="1">
      <c r="A314" s="20" t="s">
        <v>578</v>
      </c>
      <c r="B314" s="20"/>
      <c r="C314" s="22"/>
      <c r="D314" s="22"/>
      <c r="E314" s="22"/>
      <c r="F314" s="22"/>
      <c r="G314" s="22"/>
      <c r="H314" s="22"/>
      <c r="I314" s="22"/>
      <c r="J314" s="22"/>
      <c r="K314" s="23"/>
      <c r="L314" s="23"/>
      <c r="M314" s="23"/>
      <c r="N314" s="23"/>
      <c r="O314" s="22" t="s">
        <v>164</v>
      </c>
      <c r="P314" s="24"/>
      <c r="Q314" s="24" t="str">
        <f t="shared" si="24"/>
        <v>-grained, ,  marble</v>
      </c>
      <c r="R314" s="22" t="s">
        <v>164</v>
      </c>
      <c r="S314" s="22" t="s">
        <v>164</v>
      </c>
      <c r="T314" s="22" t="s">
        <v>164</v>
      </c>
      <c r="U314" s="22" t="s">
        <v>164</v>
      </c>
      <c r="V314" s="22" t="s">
        <v>164</v>
      </c>
      <c r="W314" s="22"/>
      <c r="X314" s="22" t="s">
        <v>164</v>
      </c>
      <c r="Y314" s="22" t="s">
        <v>164</v>
      </c>
      <c r="Z314" s="22" t="s">
        <v>164</v>
      </c>
      <c r="AA314" s="33"/>
      <c r="AB314" s="33"/>
      <c r="AC314" s="33" t="s">
        <v>164</v>
      </c>
      <c r="AD314" s="33" t="s">
        <v>164</v>
      </c>
      <c r="AE314" s="36" t="s">
        <v>165</v>
      </c>
      <c r="AF314" s="33" t="s">
        <v>164</v>
      </c>
      <c r="AG314" s="33" t="s">
        <v>164</v>
      </c>
      <c r="AH314" s="33" t="s">
        <v>164</v>
      </c>
      <c r="AI314" s="33" t="s">
        <v>164</v>
      </c>
      <c r="AJ314" s="33" t="s">
        <v>164</v>
      </c>
      <c r="AK314" s="33" t="s">
        <v>164</v>
      </c>
      <c r="AL314" s="33" t="s">
        <v>164</v>
      </c>
      <c r="AM314" s="22"/>
      <c r="AN314" s="22"/>
      <c r="AO314" s="43">
        <f t="shared" si="25"/>
        <v>0</v>
      </c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 t="s">
        <v>164</v>
      </c>
      <c r="BF314" s="22" t="s">
        <v>164</v>
      </c>
      <c r="BG314" s="22" t="s">
        <v>164</v>
      </c>
      <c r="BH314" s="22" t="s">
        <v>164</v>
      </c>
      <c r="BI314" s="22"/>
      <c r="BJ314" s="22" t="s">
        <v>164</v>
      </c>
      <c r="BK314" s="22"/>
      <c r="BL314" s="22" t="s">
        <v>164</v>
      </c>
      <c r="BM314" s="22"/>
      <c r="BN314" s="22" t="s">
        <v>164</v>
      </c>
      <c r="BO314" s="22"/>
      <c r="BP314" s="22"/>
      <c r="BQ314" s="22"/>
      <c r="BR314" s="22" t="s">
        <v>164</v>
      </c>
      <c r="BS314" s="22"/>
      <c r="BT314" s="22" t="s">
        <v>164</v>
      </c>
      <c r="BU314" s="22"/>
      <c r="BV314" s="22"/>
      <c r="BW314" s="22"/>
      <c r="BX314" s="22" t="s">
        <v>164</v>
      </c>
      <c r="BY314" s="22"/>
      <c r="BZ314" s="22" t="s">
        <v>164</v>
      </c>
      <c r="CA314" s="22"/>
      <c r="CB314" s="22" t="s">
        <v>164</v>
      </c>
      <c r="CC314" s="22"/>
      <c r="CD314" s="22" t="s">
        <v>164</v>
      </c>
      <c r="CE314" s="33" t="s">
        <v>164</v>
      </c>
      <c r="CF314" s="33" t="s">
        <v>164</v>
      </c>
      <c r="CG314" s="33" t="s">
        <v>164</v>
      </c>
      <c r="CH314" s="33" t="s">
        <v>164</v>
      </c>
      <c r="CI314" s="33" t="s">
        <v>164</v>
      </c>
      <c r="CJ314" s="33" t="s">
        <v>164</v>
      </c>
      <c r="CK314" s="33" t="s">
        <v>164</v>
      </c>
      <c r="CL314" s="33" t="s">
        <v>164</v>
      </c>
      <c r="CM314" s="33" t="s">
        <v>164</v>
      </c>
      <c r="CN314" s="33" t="s">
        <v>164</v>
      </c>
      <c r="CO314" s="33" t="s">
        <v>164</v>
      </c>
      <c r="CP314" s="33" t="s">
        <v>164</v>
      </c>
      <c r="CQ314" s="33" t="s">
        <v>164</v>
      </c>
      <c r="CR314" s="33" t="s">
        <v>164</v>
      </c>
      <c r="CS314" s="33" t="s">
        <v>164</v>
      </c>
      <c r="CT314" s="33" t="s">
        <v>164</v>
      </c>
      <c r="CU314" s="33" t="s">
        <v>164</v>
      </c>
      <c r="CV314" s="33" t="s">
        <v>164</v>
      </c>
      <c r="CW314" s="140" t="s">
        <v>166</v>
      </c>
      <c r="CX314" s="38">
        <v>2.43</v>
      </c>
      <c r="CY314" s="38">
        <v>-0.39</v>
      </c>
      <c r="CZ314" s="33"/>
      <c r="DA314" s="33" t="s">
        <v>164</v>
      </c>
      <c r="DB314" s="33" t="s">
        <v>164</v>
      </c>
      <c r="DC314" s="33" t="s">
        <v>164</v>
      </c>
      <c r="DD314" s="33" t="s">
        <v>164</v>
      </c>
      <c r="DE314" s="33" t="s">
        <v>164</v>
      </c>
      <c r="DF314" s="33" t="s">
        <v>164</v>
      </c>
      <c r="DG314" s="33" t="s">
        <v>164</v>
      </c>
      <c r="DH314" s="33" t="s">
        <v>164</v>
      </c>
      <c r="DI314" s="33" t="s">
        <v>164</v>
      </c>
    </row>
    <row r="315" ht="15.75" customHeight="1">
      <c r="A315" s="20" t="s">
        <v>579</v>
      </c>
      <c r="B315" s="20"/>
      <c r="C315" s="22"/>
      <c r="D315" s="22"/>
      <c r="E315" s="22"/>
      <c r="F315" s="22"/>
      <c r="G315" s="22"/>
      <c r="H315" s="22"/>
      <c r="I315" s="22"/>
      <c r="J315" s="22"/>
      <c r="K315" s="48" t="s">
        <v>225</v>
      </c>
      <c r="L315" s="23"/>
      <c r="M315" s="23"/>
      <c r="N315" s="23"/>
      <c r="O315" s="22" t="s">
        <v>164</v>
      </c>
      <c r="P315" s="24"/>
      <c r="Q315" s="24" t="str">
        <f t="shared" si="24"/>
        <v>very fine-grained, homogeneous, white marble</v>
      </c>
      <c r="R315" s="20" t="s">
        <v>188</v>
      </c>
      <c r="S315" s="20" t="s">
        <v>189</v>
      </c>
      <c r="T315" s="20" t="s">
        <v>194</v>
      </c>
      <c r="U315" s="20" t="s">
        <v>195</v>
      </c>
      <c r="V315" s="20" t="s">
        <v>190</v>
      </c>
      <c r="W315" s="20" t="s">
        <v>166</v>
      </c>
      <c r="X315" s="20">
        <v>0.2</v>
      </c>
      <c r="Y315" s="20" t="s">
        <v>196</v>
      </c>
      <c r="Z315" s="20" t="s">
        <v>245</v>
      </c>
      <c r="AA315" s="50" t="s">
        <v>166</v>
      </c>
      <c r="AB315" s="50" t="s">
        <v>166</v>
      </c>
      <c r="AC315" s="50">
        <v>0.3</v>
      </c>
      <c r="AD315" s="50" t="s">
        <v>196</v>
      </c>
      <c r="AE315" s="36" t="s">
        <v>245</v>
      </c>
      <c r="AF315" s="33" t="s">
        <v>164</v>
      </c>
      <c r="AG315" s="33" t="s">
        <v>164</v>
      </c>
      <c r="AH315" s="33" t="s">
        <v>164</v>
      </c>
      <c r="AI315" s="33" t="s">
        <v>164</v>
      </c>
      <c r="AJ315" s="33" t="s">
        <v>164</v>
      </c>
      <c r="AK315" s="33" t="s">
        <v>164</v>
      </c>
      <c r="AL315" s="33" t="s">
        <v>164</v>
      </c>
      <c r="AM315" s="22"/>
      <c r="AN315" s="22"/>
      <c r="AO315" s="43">
        <f t="shared" si="25"/>
        <v>0</v>
      </c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 t="s">
        <v>164</v>
      </c>
      <c r="BF315" s="22" t="s">
        <v>164</v>
      </c>
      <c r="BG315" s="22" t="s">
        <v>164</v>
      </c>
      <c r="BH315" s="22" t="s">
        <v>164</v>
      </c>
      <c r="BI315" s="22"/>
      <c r="BJ315" s="22" t="s">
        <v>164</v>
      </c>
      <c r="BK315" s="22"/>
      <c r="BL315" s="22" t="s">
        <v>164</v>
      </c>
      <c r="BM315" s="22"/>
      <c r="BN315" s="22" t="s">
        <v>164</v>
      </c>
      <c r="BO315" s="22"/>
      <c r="BP315" s="22"/>
      <c r="BQ315" s="22"/>
      <c r="BR315" s="22" t="s">
        <v>164</v>
      </c>
      <c r="BS315" s="22"/>
      <c r="BT315" s="22" t="s">
        <v>164</v>
      </c>
      <c r="BU315" s="22"/>
      <c r="BV315" s="22"/>
      <c r="BW315" s="22"/>
      <c r="BX315" s="22" t="s">
        <v>164</v>
      </c>
      <c r="BY315" s="22"/>
      <c r="BZ315" s="22" t="s">
        <v>164</v>
      </c>
      <c r="CA315" s="22"/>
      <c r="CB315" s="22" t="s">
        <v>164</v>
      </c>
      <c r="CC315" s="22"/>
      <c r="CD315" s="22" t="s">
        <v>164</v>
      </c>
      <c r="CE315" s="33" t="s">
        <v>164</v>
      </c>
      <c r="CF315" s="33" t="s">
        <v>164</v>
      </c>
      <c r="CG315" s="33" t="s">
        <v>164</v>
      </c>
      <c r="CH315" s="33" t="s">
        <v>164</v>
      </c>
      <c r="CI315" s="33" t="s">
        <v>164</v>
      </c>
      <c r="CJ315" s="33" t="s">
        <v>164</v>
      </c>
      <c r="CK315" s="33" t="s">
        <v>164</v>
      </c>
      <c r="CL315" s="33" t="s">
        <v>164</v>
      </c>
      <c r="CM315" s="33" t="s">
        <v>164</v>
      </c>
      <c r="CN315" s="33" t="s">
        <v>164</v>
      </c>
      <c r="CO315" s="33" t="s">
        <v>164</v>
      </c>
      <c r="CP315" s="33" t="s">
        <v>164</v>
      </c>
      <c r="CQ315" s="33" t="s">
        <v>164</v>
      </c>
      <c r="CR315" s="33" t="s">
        <v>164</v>
      </c>
      <c r="CS315" s="33" t="s">
        <v>164</v>
      </c>
      <c r="CT315" s="33" t="s">
        <v>164</v>
      </c>
      <c r="CU315" s="33" t="s">
        <v>164</v>
      </c>
      <c r="CV315" s="33" t="s">
        <v>164</v>
      </c>
      <c r="CW315" s="140" t="s">
        <v>166</v>
      </c>
      <c r="CX315" s="38">
        <v>2.14</v>
      </c>
      <c r="CY315" s="38">
        <v>-1.23</v>
      </c>
      <c r="CZ315" s="50" t="s">
        <v>166</v>
      </c>
      <c r="DA315" s="33" t="s">
        <v>164</v>
      </c>
      <c r="DB315" s="33" t="s">
        <v>164</v>
      </c>
      <c r="DC315" s="33" t="s">
        <v>164</v>
      </c>
      <c r="DD315" s="33" t="s">
        <v>164</v>
      </c>
      <c r="DE315" s="33" t="s">
        <v>164</v>
      </c>
      <c r="DF315" s="33" t="s">
        <v>164</v>
      </c>
      <c r="DG315" s="33" t="s">
        <v>164</v>
      </c>
      <c r="DH315" s="33" t="s">
        <v>164</v>
      </c>
      <c r="DI315" s="33" t="s">
        <v>164</v>
      </c>
      <c r="DJ315" s="106" t="s">
        <v>166</v>
      </c>
      <c r="DK315" s="52">
        <v>4.24</v>
      </c>
      <c r="DL315" s="52">
        <v>8.42</v>
      </c>
      <c r="DM315" s="52">
        <v>127.46</v>
      </c>
      <c r="DN315" s="52">
        <v>6095.81</v>
      </c>
      <c r="DO315" s="52">
        <v>0.492972563</v>
      </c>
      <c r="DP315" s="52">
        <v>65.37</v>
      </c>
      <c r="DQ315" s="52">
        <v>6.05</v>
      </c>
      <c r="DR315" s="52">
        <v>4.67</v>
      </c>
      <c r="DS315" s="52">
        <v>53.09</v>
      </c>
      <c r="DT315" s="52">
        <v>365.14</v>
      </c>
      <c r="DU315" s="52">
        <v>0.41</v>
      </c>
      <c r="DV315" s="52">
        <v>1.41</v>
      </c>
      <c r="DW315" s="52">
        <v>2.64</v>
      </c>
      <c r="DX315" s="52">
        <v>51.3</v>
      </c>
      <c r="DY315" s="52">
        <v>0.29</v>
      </c>
      <c r="DZ315" s="52">
        <v>0.1</v>
      </c>
      <c r="EA315" s="52">
        <v>2.51</v>
      </c>
      <c r="EB315" s="52">
        <v>159.64</v>
      </c>
      <c r="EC315" s="52">
        <v>6.55</v>
      </c>
      <c r="ED315" s="52">
        <v>3.06</v>
      </c>
      <c r="EE315" s="52">
        <v>0.48</v>
      </c>
      <c r="EF315" s="52">
        <v>0.01</v>
      </c>
      <c r="EG315" s="52">
        <v>0.51</v>
      </c>
      <c r="EH315" s="52">
        <v>0.22</v>
      </c>
      <c r="EI315" s="52">
        <v>0.12</v>
      </c>
      <c r="EJ315" s="52">
        <v>7.23</v>
      </c>
      <c r="EK315" s="52">
        <v>3.07</v>
      </c>
      <c r="EL315" s="52">
        <v>2.87</v>
      </c>
      <c r="EM315" s="52">
        <v>3.18</v>
      </c>
      <c r="EN315" s="52">
        <v>0.58</v>
      </c>
      <c r="EO315" s="52">
        <v>0.12</v>
      </c>
      <c r="EP315" s="52">
        <v>0.55</v>
      </c>
      <c r="EQ315" s="52">
        <v>0.71</v>
      </c>
      <c r="ER315" s="52">
        <v>0.53</v>
      </c>
      <c r="ES315" s="52">
        <v>0.38</v>
      </c>
      <c r="ET315" s="52">
        <v>0.083292269</v>
      </c>
      <c r="EU315" s="52">
        <v>11.89</v>
      </c>
      <c r="EV315" s="52">
        <v>17.28</v>
      </c>
      <c r="EW315" s="52">
        <v>3.63</v>
      </c>
      <c r="EX315" s="52">
        <v>0.07</v>
      </c>
      <c r="EY315" s="52">
        <v>0.33</v>
      </c>
    </row>
    <row r="316" ht="15.75" customHeight="1">
      <c r="A316" s="20" t="s">
        <v>580</v>
      </c>
      <c r="B316" s="20"/>
      <c r="C316" s="22"/>
      <c r="D316" s="22"/>
      <c r="E316" s="22"/>
      <c r="F316" s="22"/>
      <c r="G316" s="22"/>
      <c r="H316" s="22"/>
      <c r="I316" s="22"/>
      <c r="J316" s="22"/>
      <c r="K316" s="48" t="s">
        <v>225</v>
      </c>
      <c r="L316" s="23"/>
      <c r="M316" s="23"/>
      <c r="N316" s="23"/>
      <c r="O316" s="22" t="s">
        <v>164</v>
      </c>
      <c r="P316" s="24"/>
      <c r="Q316" s="24" t="str">
        <f t="shared" si="24"/>
        <v>very fine-grained, homogeneous, white marble</v>
      </c>
      <c r="R316" s="20" t="s">
        <v>188</v>
      </c>
      <c r="S316" s="20" t="s">
        <v>189</v>
      </c>
      <c r="T316" s="20" t="s">
        <v>194</v>
      </c>
      <c r="U316" s="20" t="s">
        <v>195</v>
      </c>
      <c r="V316" s="20" t="s">
        <v>190</v>
      </c>
      <c r="W316" s="20" t="s">
        <v>166</v>
      </c>
      <c r="X316" s="20">
        <v>0.3</v>
      </c>
      <c r="Y316" s="20" t="s">
        <v>196</v>
      </c>
      <c r="Z316" s="20" t="s">
        <v>245</v>
      </c>
      <c r="AA316" s="50" t="s">
        <v>166</v>
      </c>
      <c r="AB316" s="50" t="s">
        <v>166</v>
      </c>
      <c r="AC316" s="50">
        <v>0.5</v>
      </c>
      <c r="AD316" s="50" t="s">
        <v>209</v>
      </c>
      <c r="AE316" s="36" t="s">
        <v>245</v>
      </c>
      <c r="AF316" s="50" t="s">
        <v>166</v>
      </c>
      <c r="AG316" s="50" t="s">
        <v>166</v>
      </c>
      <c r="AH316" s="33" t="s">
        <v>164</v>
      </c>
      <c r="AI316" s="33" t="s">
        <v>164</v>
      </c>
      <c r="AJ316" s="33" t="s">
        <v>164</v>
      </c>
      <c r="AK316" s="33" t="s">
        <v>164</v>
      </c>
      <c r="AL316" s="33" t="s">
        <v>164</v>
      </c>
      <c r="AM316" s="22"/>
      <c r="AN316" s="22"/>
      <c r="AO316" s="43">
        <f t="shared" si="25"/>
        <v>0</v>
      </c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 t="s">
        <v>164</v>
      </c>
      <c r="BF316" s="22" t="s">
        <v>164</v>
      </c>
      <c r="BG316" s="22" t="s">
        <v>164</v>
      </c>
      <c r="BH316" s="22" t="s">
        <v>164</v>
      </c>
      <c r="BI316" s="22"/>
      <c r="BJ316" s="22" t="s">
        <v>164</v>
      </c>
      <c r="BK316" s="22"/>
      <c r="BL316" s="22" t="s">
        <v>164</v>
      </c>
      <c r="BM316" s="22"/>
      <c r="BN316" s="22" t="s">
        <v>164</v>
      </c>
      <c r="BO316" s="22"/>
      <c r="BP316" s="22"/>
      <c r="BQ316" s="22"/>
      <c r="BR316" s="22" t="s">
        <v>164</v>
      </c>
      <c r="BS316" s="22"/>
      <c r="BT316" s="22" t="s">
        <v>164</v>
      </c>
      <c r="BU316" s="22"/>
      <c r="BV316" s="22"/>
      <c r="BW316" s="22"/>
      <c r="BX316" s="22" t="s">
        <v>164</v>
      </c>
      <c r="BY316" s="22"/>
      <c r="BZ316" s="22" t="s">
        <v>164</v>
      </c>
      <c r="CA316" s="22"/>
      <c r="CB316" s="22" t="s">
        <v>164</v>
      </c>
      <c r="CC316" s="22"/>
      <c r="CD316" s="22" t="s">
        <v>164</v>
      </c>
      <c r="CE316" s="33" t="s">
        <v>164</v>
      </c>
      <c r="CF316" s="33" t="s">
        <v>164</v>
      </c>
      <c r="CG316" s="33" t="s">
        <v>164</v>
      </c>
      <c r="CH316" s="33" t="s">
        <v>164</v>
      </c>
      <c r="CI316" s="33" t="s">
        <v>164</v>
      </c>
      <c r="CJ316" s="33" t="s">
        <v>164</v>
      </c>
      <c r="CK316" s="33" t="s">
        <v>164</v>
      </c>
      <c r="CL316" s="33" t="s">
        <v>164</v>
      </c>
      <c r="CM316" s="33" t="s">
        <v>164</v>
      </c>
      <c r="CN316" s="33" t="s">
        <v>164</v>
      </c>
      <c r="CO316" s="33" t="s">
        <v>164</v>
      </c>
      <c r="CP316" s="33" t="s">
        <v>164</v>
      </c>
      <c r="CQ316" s="33" t="s">
        <v>164</v>
      </c>
      <c r="CR316" s="33" t="s">
        <v>164</v>
      </c>
      <c r="CS316" s="33" t="s">
        <v>164</v>
      </c>
      <c r="CT316" s="33" t="s">
        <v>164</v>
      </c>
      <c r="CU316" s="33" t="s">
        <v>164</v>
      </c>
      <c r="CV316" s="33" t="s">
        <v>164</v>
      </c>
      <c r="CW316" s="140" t="s">
        <v>166</v>
      </c>
      <c r="CX316" s="38">
        <v>1.77</v>
      </c>
      <c r="CY316" s="38">
        <v>-1.5</v>
      </c>
      <c r="CZ316" s="50" t="s">
        <v>166</v>
      </c>
      <c r="DA316" s="33" t="s">
        <v>164</v>
      </c>
      <c r="DB316" s="33" t="s">
        <v>164</v>
      </c>
      <c r="DC316" s="33" t="s">
        <v>164</v>
      </c>
      <c r="DD316" s="33" t="s">
        <v>164</v>
      </c>
      <c r="DE316" s="33" t="s">
        <v>164</v>
      </c>
      <c r="DF316" s="33" t="s">
        <v>164</v>
      </c>
      <c r="DG316" s="33" t="s">
        <v>164</v>
      </c>
      <c r="DH316" s="33" t="s">
        <v>164</v>
      </c>
      <c r="DI316" s="33" t="s">
        <v>164</v>
      </c>
      <c r="DJ316" s="106" t="s">
        <v>166</v>
      </c>
      <c r="DK316" s="52">
        <v>1.09</v>
      </c>
      <c r="DL316" s="52">
        <v>12.49</v>
      </c>
      <c r="DM316" s="52">
        <v>396.01</v>
      </c>
      <c r="DN316" s="52">
        <v>5225.31</v>
      </c>
      <c r="DO316" s="52">
        <v>0.37692007</v>
      </c>
      <c r="DP316" s="52">
        <v>67.08</v>
      </c>
      <c r="DQ316" s="52">
        <v>1.08</v>
      </c>
      <c r="DR316" s="52">
        <v>4.36</v>
      </c>
      <c r="DS316" s="52">
        <v>2.09</v>
      </c>
      <c r="DT316" s="52">
        <v>87.39</v>
      </c>
      <c r="DU316" s="52">
        <v>715.89</v>
      </c>
      <c r="DV316" s="52">
        <v>0.35</v>
      </c>
      <c r="DW316" s="52">
        <v>2.42</v>
      </c>
      <c r="DX316" s="52">
        <v>9.17</v>
      </c>
      <c r="DY316" s="52">
        <v>96.41</v>
      </c>
      <c r="DZ316" s="52">
        <v>0.57</v>
      </c>
      <c r="EA316" s="52">
        <v>0.89</v>
      </c>
      <c r="EB316" s="52">
        <v>0.77</v>
      </c>
      <c r="EC316" s="52">
        <v>177.16</v>
      </c>
      <c r="ED316" s="52">
        <v>3.49</v>
      </c>
      <c r="EE316" s="52">
        <v>2.31</v>
      </c>
      <c r="EF316" s="52">
        <v>0.64</v>
      </c>
      <c r="EG316" s="52">
        <v>0.04</v>
      </c>
      <c r="EH316" s="52">
        <v>0.6</v>
      </c>
      <c r="EI316" s="52">
        <v>0.22</v>
      </c>
      <c r="EJ316" s="52">
        <v>0.08</v>
      </c>
      <c r="EK316" s="52">
        <v>17.19</v>
      </c>
      <c r="EL316" s="52">
        <v>3.19</v>
      </c>
      <c r="EM316" s="52">
        <v>2.81</v>
      </c>
      <c r="EN316" s="52">
        <v>3.08</v>
      </c>
      <c r="EO316" s="52">
        <v>0.47</v>
      </c>
      <c r="EP316" s="52">
        <v>0.1</v>
      </c>
      <c r="EQ316" s="52">
        <v>0.43</v>
      </c>
      <c r="ER316" s="52">
        <v>0.45</v>
      </c>
      <c r="ES316" s="52">
        <v>0.29</v>
      </c>
      <c r="ET316" s="52">
        <v>0.111380959</v>
      </c>
      <c r="EU316" s="52">
        <v>0.09</v>
      </c>
      <c r="EV316" s="52">
        <v>11.04</v>
      </c>
      <c r="EW316" s="52">
        <v>53.88</v>
      </c>
      <c r="EX316" s="52">
        <v>11.97</v>
      </c>
      <c r="EY316" s="52">
        <v>0.18</v>
      </c>
    </row>
    <row r="317" ht="15.75" customHeight="1">
      <c r="A317" s="20"/>
      <c r="B317" s="20"/>
      <c r="C317" s="163"/>
      <c r="D317" s="163"/>
      <c r="E317" s="163"/>
      <c r="F317" s="163"/>
      <c r="G317" s="163"/>
      <c r="H317" s="163"/>
      <c r="I317" s="163"/>
      <c r="J317" s="163" t="s">
        <v>581</v>
      </c>
      <c r="K317" s="23" t="s">
        <v>582</v>
      </c>
      <c r="L317" s="23"/>
      <c r="M317" s="23"/>
      <c r="N317" s="23" t="s">
        <v>582</v>
      </c>
      <c r="O317" s="164" t="s">
        <v>583</v>
      </c>
      <c r="P317" s="24"/>
      <c r="Q317" s="24" t="str">
        <f t="shared" si="24"/>
        <v>coarse-grained, homogeneous,  marble</v>
      </c>
      <c r="R317" s="24" t="s">
        <v>222</v>
      </c>
      <c r="S317" s="24" t="s">
        <v>164</v>
      </c>
      <c r="T317" s="24" t="s">
        <v>194</v>
      </c>
      <c r="U317" s="163" t="s">
        <v>164</v>
      </c>
      <c r="V317" s="163" t="s">
        <v>164</v>
      </c>
      <c r="W317" s="76" t="s">
        <v>190</v>
      </c>
      <c r="X317" s="24" t="s">
        <v>164</v>
      </c>
      <c r="Y317" s="24" t="s">
        <v>164</v>
      </c>
      <c r="Z317" s="24" t="s">
        <v>164</v>
      </c>
      <c r="AA317" s="165"/>
      <c r="AB317" s="165"/>
      <c r="AC317" s="86" t="s">
        <v>166</v>
      </c>
      <c r="AD317" s="56" t="s">
        <v>183</v>
      </c>
      <c r="AE317" s="166" t="s">
        <v>207</v>
      </c>
      <c r="AF317" s="165" t="s">
        <v>164</v>
      </c>
      <c r="AG317" s="165" t="s">
        <v>166</v>
      </c>
      <c r="AH317" s="165" t="s">
        <v>164</v>
      </c>
      <c r="AI317" s="165" t="s">
        <v>584</v>
      </c>
      <c r="AJ317" s="165" t="s">
        <v>164</v>
      </c>
      <c r="AK317" s="165" t="s">
        <v>164</v>
      </c>
      <c r="AL317" s="165" t="s">
        <v>584</v>
      </c>
      <c r="AM317" s="167"/>
      <c r="AN317" s="167"/>
      <c r="AO317" s="28">
        <f t="shared" si="25"/>
        <v>0</v>
      </c>
      <c r="AP317" s="167" t="s">
        <v>164</v>
      </c>
      <c r="AQ317" s="167"/>
      <c r="AR317" s="167" t="s">
        <v>164</v>
      </c>
      <c r="AS317" s="167"/>
      <c r="AT317" s="167" t="s">
        <v>164</v>
      </c>
      <c r="AU317" s="167"/>
      <c r="AV317" s="167"/>
      <c r="AW317" s="167"/>
      <c r="AX317" s="167"/>
      <c r="AY317" s="167"/>
      <c r="AZ317" s="167"/>
      <c r="BA317" s="167"/>
      <c r="BB317" s="167"/>
      <c r="BC317" s="167"/>
      <c r="BD317" s="167"/>
      <c r="BE317" s="163" t="s">
        <v>164</v>
      </c>
      <c r="BF317" s="163" t="s">
        <v>164</v>
      </c>
      <c r="BG317" s="163" t="s">
        <v>164</v>
      </c>
      <c r="BH317" s="163" t="s">
        <v>164</v>
      </c>
      <c r="BI317" s="168"/>
      <c r="BJ317" s="168" t="s">
        <v>164</v>
      </c>
      <c r="BK317" s="168"/>
      <c r="BL317" s="168" t="s">
        <v>164</v>
      </c>
      <c r="BM317" s="168"/>
      <c r="BN317" s="168" t="s">
        <v>164</v>
      </c>
      <c r="BO317" s="168"/>
      <c r="BP317" s="168"/>
      <c r="BQ317" s="168"/>
      <c r="BR317" s="168" t="s">
        <v>164</v>
      </c>
      <c r="BS317" s="168"/>
      <c r="BT317" s="168" t="s">
        <v>164</v>
      </c>
      <c r="BU317" s="168"/>
      <c r="BV317" s="168"/>
      <c r="BW317" s="168"/>
      <c r="BX317" s="168" t="s">
        <v>164</v>
      </c>
      <c r="BY317" s="168"/>
      <c r="BZ317" s="168" t="s">
        <v>164</v>
      </c>
      <c r="CA317" s="168"/>
      <c r="CB317" s="168" t="s">
        <v>164</v>
      </c>
      <c r="CC317" s="168"/>
      <c r="CD317" s="168" t="s">
        <v>164</v>
      </c>
      <c r="CE317" s="165" t="s">
        <v>164</v>
      </c>
      <c r="CF317" s="165" t="s">
        <v>585</v>
      </c>
      <c r="CG317" s="165" t="s">
        <v>164</v>
      </c>
      <c r="CH317" s="165" t="s">
        <v>164</v>
      </c>
      <c r="CI317" s="165" t="s">
        <v>164</v>
      </c>
      <c r="CJ317" s="165" t="s">
        <v>164</v>
      </c>
      <c r="CK317" s="165" t="s">
        <v>585</v>
      </c>
      <c r="CL317" s="165" t="s">
        <v>164</v>
      </c>
      <c r="CM317" s="165" t="s">
        <v>585</v>
      </c>
      <c r="CN317" s="165" t="s">
        <v>164</v>
      </c>
      <c r="CO317" s="165" t="s">
        <v>585</v>
      </c>
      <c r="CP317" s="165" t="s">
        <v>164</v>
      </c>
      <c r="CQ317" s="165" t="s">
        <v>164</v>
      </c>
      <c r="CR317" s="165" t="s">
        <v>164</v>
      </c>
      <c r="CS317" s="165" t="s">
        <v>164</v>
      </c>
      <c r="CT317" s="165" t="s">
        <v>164</v>
      </c>
      <c r="CU317" s="165" t="s">
        <v>164</v>
      </c>
      <c r="CV317" s="165" t="s">
        <v>164</v>
      </c>
      <c r="CW317" s="169"/>
      <c r="CX317" s="170"/>
      <c r="CY317" s="170"/>
      <c r="CZ317" s="33"/>
      <c r="DA317" s="33" t="s">
        <v>164</v>
      </c>
      <c r="DB317" s="33" t="s">
        <v>164</v>
      </c>
      <c r="DC317" s="33" t="s">
        <v>164</v>
      </c>
      <c r="DD317" s="33" t="s">
        <v>164</v>
      </c>
      <c r="DE317" s="33" t="s">
        <v>164</v>
      </c>
      <c r="DF317" s="33" t="s">
        <v>164</v>
      </c>
      <c r="DG317" s="33" t="s">
        <v>164</v>
      </c>
      <c r="DH317" s="33" t="s">
        <v>164</v>
      </c>
      <c r="DI317" s="33" t="s">
        <v>164</v>
      </c>
      <c r="DJ317" s="134"/>
      <c r="DK317" s="63"/>
      <c r="DL317" s="150"/>
      <c r="DM317" s="63"/>
      <c r="DN317" s="63"/>
      <c r="DO317" s="63"/>
      <c r="DP317" s="63"/>
      <c r="DQ317" s="63"/>
      <c r="DR317" s="63"/>
      <c r="DS317" s="63"/>
      <c r="DT317" s="63"/>
      <c r="DU317" s="63"/>
      <c r="DV317" s="63"/>
      <c r="DW317" s="63"/>
      <c r="DX317" s="63"/>
      <c r="DY317" s="63"/>
      <c r="DZ317" s="63"/>
      <c r="EA317" s="63"/>
      <c r="EB317" s="63"/>
      <c r="EC317" s="63"/>
      <c r="ED317" s="63"/>
      <c r="EE317" s="63"/>
      <c r="EF317" s="63"/>
      <c r="EG317" s="63"/>
      <c r="EH317" s="63"/>
      <c r="EI317" s="63"/>
      <c r="EJ317" s="63"/>
      <c r="EK317" s="63"/>
      <c r="EL317" s="63"/>
      <c r="EM317" s="63"/>
      <c r="EN317" s="63"/>
      <c r="EO317" s="63"/>
      <c r="EP317" s="63"/>
      <c r="EQ317" s="63"/>
      <c r="ER317" s="63"/>
      <c r="ES317" s="63"/>
      <c r="ET317" s="63"/>
      <c r="EU317" s="63"/>
      <c r="EV317" s="63"/>
      <c r="EW317" s="63"/>
      <c r="EX317" s="63"/>
      <c r="EY317" s="63"/>
      <c r="EZ317" s="33"/>
    </row>
    <row r="318" ht="15.75" customHeight="1">
      <c r="A318" s="44"/>
      <c r="B318" s="24"/>
      <c r="C318" s="24"/>
      <c r="D318" s="24"/>
      <c r="E318" s="24"/>
      <c r="F318" s="24"/>
      <c r="G318" s="24"/>
      <c r="H318" s="24"/>
      <c r="I318" s="24"/>
      <c r="J318" s="24" t="s">
        <v>586</v>
      </c>
      <c r="K318" s="23" t="s">
        <v>587</v>
      </c>
      <c r="L318" s="23"/>
      <c r="M318" s="23"/>
      <c r="N318" s="23" t="s">
        <v>587</v>
      </c>
      <c r="O318" s="164" t="s">
        <v>583</v>
      </c>
      <c r="P318" s="24"/>
      <c r="Q318" s="24" t="str">
        <f t="shared" si="24"/>
        <v>-grained, homogeneous,  marble</v>
      </c>
      <c r="R318" s="24" t="s">
        <v>164</v>
      </c>
      <c r="S318" s="24" t="s">
        <v>164</v>
      </c>
      <c r="T318" s="24" t="s">
        <v>194</v>
      </c>
      <c r="U318" s="163" t="s">
        <v>164</v>
      </c>
      <c r="V318" s="163" t="s">
        <v>164</v>
      </c>
      <c r="W318" s="76" t="s">
        <v>190</v>
      </c>
      <c r="X318" s="24" t="s">
        <v>164</v>
      </c>
      <c r="Y318" s="24" t="s">
        <v>164</v>
      </c>
      <c r="Z318" s="24" t="s">
        <v>164</v>
      </c>
      <c r="AA318" s="165"/>
      <c r="AB318" s="165"/>
      <c r="AC318" s="165" t="s">
        <v>164</v>
      </c>
      <c r="AD318" s="165" t="s">
        <v>164</v>
      </c>
      <c r="AE318" s="171"/>
      <c r="AF318" s="165" t="s">
        <v>164</v>
      </c>
      <c r="AG318" s="165" t="s">
        <v>164</v>
      </c>
      <c r="AH318" s="165" t="s">
        <v>164</v>
      </c>
      <c r="AI318" s="165" t="s">
        <v>164</v>
      </c>
      <c r="AJ318" s="165" t="s">
        <v>164</v>
      </c>
      <c r="AK318" s="165" t="s">
        <v>164</v>
      </c>
      <c r="AL318" s="165" t="s">
        <v>164</v>
      </c>
      <c r="AM318" s="172"/>
      <c r="AN318" s="172"/>
      <c r="AO318" s="28">
        <f t="shared" si="25"/>
        <v>100</v>
      </c>
      <c r="AP318" s="172">
        <v>82.08</v>
      </c>
      <c r="AQ318" s="167"/>
      <c r="AR318" s="173">
        <v>17.92</v>
      </c>
      <c r="AS318" s="167"/>
      <c r="AT318" s="167" t="s">
        <v>164</v>
      </c>
      <c r="AU318" s="167"/>
      <c r="AV318" s="167"/>
      <c r="AW318" s="167"/>
      <c r="AX318" s="167"/>
      <c r="AY318" s="167"/>
      <c r="AZ318" s="167"/>
      <c r="BA318" s="167"/>
      <c r="BB318" s="167"/>
      <c r="BC318" s="167"/>
      <c r="BD318" s="167"/>
      <c r="BE318" s="163" t="s">
        <v>164</v>
      </c>
      <c r="BF318" s="163" t="s">
        <v>164</v>
      </c>
      <c r="BG318" s="163" t="s">
        <v>164</v>
      </c>
      <c r="BH318" s="163" t="s">
        <v>164</v>
      </c>
      <c r="BI318" s="168"/>
      <c r="BJ318" s="168" t="s">
        <v>164</v>
      </c>
      <c r="BK318" s="168"/>
      <c r="BL318" s="168" t="s">
        <v>164</v>
      </c>
      <c r="BM318" s="168"/>
      <c r="BN318" s="168" t="s">
        <v>164</v>
      </c>
      <c r="BO318" s="168"/>
      <c r="BP318" s="168"/>
      <c r="BQ318" s="168"/>
      <c r="BR318" s="168" t="s">
        <v>164</v>
      </c>
      <c r="BS318" s="168"/>
      <c r="BT318" s="168" t="s">
        <v>164</v>
      </c>
      <c r="BU318" s="168"/>
      <c r="BV318" s="168"/>
      <c r="BW318" s="168"/>
      <c r="BX318" s="168" t="s">
        <v>164</v>
      </c>
      <c r="BY318" s="168"/>
      <c r="BZ318" s="168" t="s">
        <v>164</v>
      </c>
      <c r="CA318" s="168"/>
      <c r="CB318" s="168" t="s">
        <v>164</v>
      </c>
      <c r="CC318" s="168"/>
      <c r="CD318" s="168" t="s">
        <v>164</v>
      </c>
      <c r="CE318" s="165" t="s">
        <v>588</v>
      </c>
      <c r="CF318" s="165" t="s">
        <v>164</v>
      </c>
      <c r="CG318" s="165" t="s">
        <v>164</v>
      </c>
      <c r="CH318" s="165" t="s">
        <v>164</v>
      </c>
      <c r="CI318" s="165" t="s">
        <v>164</v>
      </c>
      <c r="CJ318" s="165" t="s">
        <v>164</v>
      </c>
      <c r="CK318" s="165" t="s">
        <v>164</v>
      </c>
      <c r="CL318" s="165" t="s">
        <v>164</v>
      </c>
      <c r="CM318" s="165" t="s">
        <v>164</v>
      </c>
      <c r="CN318" s="165" t="s">
        <v>164</v>
      </c>
      <c r="CO318" s="165" t="s">
        <v>164</v>
      </c>
      <c r="CP318" s="165" t="s">
        <v>164</v>
      </c>
      <c r="CQ318" s="165" t="s">
        <v>164</v>
      </c>
      <c r="CR318" s="165" t="s">
        <v>164</v>
      </c>
      <c r="CS318" s="165" t="s">
        <v>164</v>
      </c>
      <c r="CT318" s="165" t="s">
        <v>164</v>
      </c>
      <c r="CU318" s="165" t="s">
        <v>164</v>
      </c>
      <c r="CV318" s="165" t="s">
        <v>164</v>
      </c>
      <c r="CW318" s="169"/>
      <c r="CX318" s="170"/>
      <c r="CY318" s="170"/>
      <c r="CZ318" s="33"/>
      <c r="DA318" s="33" t="s">
        <v>164</v>
      </c>
      <c r="DB318" s="33" t="s">
        <v>164</v>
      </c>
      <c r="DC318" s="33" t="s">
        <v>164</v>
      </c>
      <c r="DD318" s="33" t="s">
        <v>164</v>
      </c>
      <c r="DE318" s="33" t="s">
        <v>164</v>
      </c>
      <c r="DF318" s="33" t="s">
        <v>164</v>
      </c>
      <c r="DG318" s="33" t="s">
        <v>164</v>
      </c>
      <c r="DH318" s="33" t="s">
        <v>164</v>
      </c>
      <c r="DI318" s="33" t="s">
        <v>164</v>
      </c>
      <c r="DJ318" s="134"/>
      <c r="DK318" s="63"/>
      <c r="DL318" s="63"/>
      <c r="DM318" s="63"/>
      <c r="DN318" s="63"/>
      <c r="DO318" s="63"/>
      <c r="DP318" s="63"/>
      <c r="DQ318" s="63"/>
      <c r="DR318" s="63"/>
      <c r="DS318" s="63"/>
      <c r="DT318" s="63"/>
      <c r="DU318" s="63"/>
      <c r="DV318" s="63"/>
      <c r="DW318" s="63"/>
      <c r="DX318" s="63"/>
      <c r="DY318" s="63"/>
      <c r="DZ318" s="63"/>
      <c r="EA318" s="63"/>
      <c r="EB318" s="63"/>
      <c r="EC318" s="63"/>
      <c r="ED318" s="63"/>
      <c r="EE318" s="63"/>
      <c r="EF318" s="63"/>
      <c r="EG318" s="63"/>
      <c r="EH318" s="63"/>
      <c r="EI318" s="63"/>
      <c r="EJ318" s="63"/>
      <c r="EK318" s="63"/>
      <c r="EL318" s="63"/>
      <c r="EM318" s="63"/>
      <c r="EN318" s="63"/>
      <c r="EO318" s="63"/>
      <c r="EP318" s="63"/>
      <c r="EQ318" s="63"/>
      <c r="ER318" s="63"/>
      <c r="ES318" s="63"/>
      <c r="ET318" s="63"/>
      <c r="EU318" s="63"/>
      <c r="EV318" s="63"/>
      <c r="EW318" s="63"/>
      <c r="EX318" s="63"/>
      <c r="EY318" s="63"/>
      <c r="EZ318" s="33"/>
      <c r="FA318" s="33"/>
      <c r="FB318" s="33"/>
      <c r="FC318" s="33"/>
      <c r="FD318" s="33"/>
      <c r="FE318" s="33"/>
      <c r="FF318" s="33"/>
      <c r="FG318" s="33"/>
      <c r="FH318" s="33"/>
      <c r="FI318" s="33"/>
      <c r="FJ318" s="33"/>
      <c r="FK318" s="33"/>
      <c r="FL318" s="33"/>
      <c r="FM318" s="33"/>
      <c r="FN318" s="33"/>
      <c r="FO318" s="33"/>
      <c r="FP318" s="33"/>
      <c r="FQ318" s="33"/>
      <c r="FR318" s="33"/>
      <c r="FS318" s="33"/>
      <c r="FT318" s="33"/>
      <c r="FU318" s="33"/>
      <c r="FV318" s="33"/>
      <c r="FW318" s="33"/>
      <c r="FX318" s="33"/>
      <c r="FY318" s="33"/>
      <c r="FZ318" s="33"/>
      <c r="GA318" s="33"/>
    </row>
    <row r="319" ht="15.75" customHeight="1">
      <c r="A319" s="20"/>
      <c r="B319" s="20"/>
      <c r="C319" s="163"/>
      <c r="D319" s="163"/>
      <c r="E319" s="163"/>
      <c r="F319" s="163"/>
      <c r="G319" s="163"/>
      <c r="H319" s="163"/>
      <c r="I319" s="163"/>
      <c r="J319" s="163" t="s">
        <v>581</v>
      </c>
      <c r="K319" s="23" t="s">
        <v>408</v>
      </c>
      <c r="L319" s="23"/>
      <c r="M319" s="23"/>
      <c r="N319" s="23" t="s">
        <v>408</v>
      </c>
      <c r="O319" s="164" t="s">
        <v>589</v>
      </c>
      <c r="P319" s="24"/>
      <c r="Q319" s="24" t="str">
        <f t="shared" si="24"/>
        <v>coarse-grained, homogeneous,  marble</v>
      </c>
      <c r="R319" s="24" t="s">
        <v>222</v>
      </c>
      <c r="S319" s="24" t="s">
        <v>164</v>
      </c>
      <c r="T319" s="24" t="s">
        <v>194</v>
      </c>
      <c r="U319" s="163" t="s">
        <v>164</v>
      </c>
      <c r="V319" s="163" t="s">
        <v>164</v>
      </c>
      <c r="W319" s="76" t="s">
        <v>190</v>
      </c>
      <c r="X319" s="24" t="s">
        <v>164</v>
      </c>
      <c r="Y319" s="24" t="s">
        <v>164</v>
      </c>
      <c r="Z319" s="24" t="s">
        <v>164</v>
      </c>
      <c r="AA319" s="165"/>
      <c r="AB319" s="165"/>
      <c r="AC319" s="86" t="s">
        <v>166</v>
      </c>
      <c r="AD319" s="56" t="s">
        <v>183</v>
      </c>
      <c r="AE319" s="166" t="s">
        <v>213</v>
      </c>
      <c r="AF319" s="165" t="s">
        <v>164</v>
      </c>
      <c r="AG319" s="165" t="s">
        <v>166</v>
      </c>
      <c r="AH319" s="165" t="s">
        <v>164</v>
      </c>
      <c r="AI319" s="165" t="s">
        <v>590</v>
      </c>
      <c r="AJ319" s="165" t="s">
        <v>164</v>
      </c>
      <c r="AK319" s="165" t="s">
        <v>164</v>
      </c>
      <c r="AL319" s="165" t="s">
        <v>166</v>
      </c>
      <c r="AM319" s="167"/>
      <c r="AN319" s="167"/>
      <c r="AO319" s="28">
        <f t="shared" si="25"/>
        <v>0</v>
      </c>
      <c r="AP319" s="167" t="s">
        <v>164</v>
      </c>
      <c r="AQ319" s="167"/>
      <c r="AR319" s="167" t="s">
        <v>164</v>
      </c>
      <c r="AS319" s="167"/>
      <c r="AT319" s="167" t="s">
        <v>164</v>
      </c>
      <c r="AU319" s="167"/>
      <c r="AV319" s="167"/>
      <c r="AW319" s="167"/>
      <c r="AX319" s="167"/>
      <c r="AY319" s="167"/>
      <c r="AZ319" s="167"/>
      <c r="BA319" s="167"/>
      <c r="BB319" s="167"/>
      <c r="BC319" s="167"/>
      <c r="BD319" s="167"/>
      <c r="BE319" s="163" t="s">
        <v>164</v>
      </c>
      <c r="BF319" s="163" t="s">
        <v>164</v>
      </c>
      <c r="BG319" s="163" t="s">
        <v>164</v>
      </c>
      <c r="BH319" s="163" t="s">
        <v>164</v>
      </c>
      <c r="BI319" s="168"/>
      <c r="BJ319" s="168" t="s">
        <v>164</v>
      </c>
      <c r="BK319" s="168"/>
      <c r="BL319" s="168" t="s">
        <v>164</v>
      </c>
      <c r="BM319" s="168"/>
      <c r="BN319" s="168" t="s">
        <v>164</v>
      </c>
      <c r="BO319" s="168"/>
      <c r="BP319" s="168"/>
      <c r="BQ319" s="168"/>
      <c r="BR319" s="168" t="s">
        <v>164</v>
      </c>
      <c r="BS319" s="168"/>
      <c r="BT319" s="168" t="s">
        <v>164</v>
      </c>
      <c r="BU319" s="168"/>
      <c r="BV319" s="168"/>
      <c r="BW319" s="168"/>
      <c r="BX319" s="168" t="s">
        <v>164</v>
      </c>
      <c r="BY319" s="168"/>
      <c r="BZ319" s="168" t="s">
        <v>164</v>
      </c>
      <c r="CA319" s="168"/>
      <c r="CB319" s="168" t="s">
        <v>164</v>
      </c>
      <c r="CC319" s="168"/>
      <c r="CD319" s="168" t="s">
        <v>164</v>
      </c>
      <c r="CE319" s="165" t="s">
        <v>164</v>
      </c>
      <c r="CF319" s="165" t="s">
        <v>164</v>
      </c>
      <c r="CG319" s="165" t="s">
        <v>164</v>
      </c>
      <c r="CH319" s="165" t="s">
        <v>164</v>
      </c>
      <c r="CI319" s="165" t="s">
        <v>164</v>
      </c>
      <c r="CJ319" s="165" t="s">
        <v>164</v>
      </c>
      <c r="CK319" s="165" t="s">
        <v>164</v>
      </c>
      <c r="CL319" s="165" t="s">
        <v>164</v>
      </c>
      <c r="CM319" s="165" t="s">
        <v>164</v>
      </c>
      <c r="CN319" s="165" t="s">
        <v>164</v>
      </c>
      <c r="CO319" s="165" t="s">
        <v>164</v>
      </c>
      <c r="CP319" s="165" t="s">
        <v>164</v>
      </c>
      <c r="CQ319" s="165" t="s">
        <v>164</v>
      </c>
      <c r="CR319" s="165" t="s">
        <v>164</v>
      </c>
      <c r="CS319" s="165" t="s">
        <v>164</v>
      </c>
      <c r="CT319" s="165" t="s">
        <v>164</v>
      </c>
      <c r="CU319" s="165" t="s">
        <v>164</v>
      </c>
      <c r="CV319" s="165" t="s">
        <v>164</v>
      </c>
      <c r="CW319" s="169"/>
      <c r="CX319" s="170"/>
      <c r="CY319" s="170"/>
      <c r="CZ319" s="33"/>
      <c r="DA319" s="33" t="s">
        <v>164</v>
      </c>
      <c r="DB319" s="33" t="s">
        <v>164</v>
      </c>
      <c r="DC319" s="33" t="s">
        <v>164</v>
      </c>
      <c r="DD319" s="33" t="s">
        <v>164</v>
      </c>
      <c r="DE319" s="33" t="s">
        <v>164</v>
      </c>
      <c r="DF319" s="33" t="s">
        <v>164</v>
      </c>
      <c r="DG319" s="33" t="s">
        <v>164</v>
      </c>
      <c r="DH319" s="33" t="s">
        <v>164</v>
      </c>
      <c r="DI319" s="33" t="s">
        <v>164</v>
      </c>
      <c r="DJ319" s="134"/>
      <c r="DK319" s="63"/>
      <c r="DL319" s="63"/>
      <c r="DM319" s="63"/>
      <c r="DN319" s="63"/>
      <c r="DO319" s="63"/>
      <c r="DP319" s="63"/>
      <c r="DQ319" s="63"/>
      <c r="DR319" s="63"/>
      <c r="DS319" s="63"/>
      <c r="DT319" s="63"/>
      <c r="DU319" s="63"/>
      <c r="DV319" s="63"/>
      <c r="DW319" s="63"/>
      <c r="DX319" s="63"/>
      <c r="DY319" s="63"/>
      <c r="DZ319" s="63"/>
      <c r="EA319" s="63"/>
      <c r="EB319" s="63"/>
      <c r="EC319" s="63"/>
      <c r="ED319" s="63"/>
      <c r="EE319" s="63"/>
      <c r="EF319" s="63"/>
      <c r="EG319" s="63"/>
      <c r="EH319" s="63"/>
      <c r="EI319" s="63"/>
      <c r="EJ319" s="63"/>
      <c r="EK319" s="63"/>
      <c r="EL319" s="63"/>
      <c r="EM319" s="63"/>
      <c r="EN319" s="63"/>
      <c r="EO319" s="63"/>
      <c r="EP319" s="150"/>
      <c r="EQ319" s="63"/>
      <c r="ER319" s="63"/>
      <c r="ES319" s="63"/>
      <c r="ET319" s="63"/>
      <c r="EU319" s="150"/>
      <c r="EV319" s="63"/>
      <c r="EW319" s="63"/>
      <c r="EX319" s="150"/>
      <c r="EY319" s="63"/>
      <c r="EZ319" s="33"/>
      <c r="FA319" s="33"/>
      <c r="FB319" s="33"/>
      <c r="FC319" s="33"/>
      <c r="FD319" s="33"/>
      <c r="FE319" s="33"/>
      <c r="FF319" s="33"/>
      <c r="FG319" s="33"/>
      <c r="FH319" s="33"/>
      <c r="FI319" s="33"/>
      <c r="FJ319" s="33"/>
      <c r="FK319" s="33"/>
      <c r="FL319" s="33"/>
      <c r="FM319" s="33"/>
      <c r="FN319" s="33"/>
      <c r="FO319" s="33"/>
      <c r="FP319" s="33"/>
      <c r="FQ319" s="33"/>
      <c r="FR319" s="33"/>
      <c r="FS319" s="33"/>
      <c r="FT319" s="33"/>
      <c r="FU319" s="33"/>
      <c r="FV319" s="33"/>
      <c r="FW319" s="33"/>
      <c r="FX319" s="33"/>
      <c r="FY319" s="33"/>
      <c r="FZ319" s="33"/>
      <c r="GA319" s="33"/>
    </row>
    <row r="320" ht="15.75" customHeight="1">
      <c r="A320" s="20"/>
      <c r="B320" s="20"/>
      <c r="C320" s="163"/>
      <c r="D320" s="163"/>
      <c r="E320" s="163"/>
      <c r="F320" s="163"/>
      <c r="G320" s="163"/>
      <c r="H320" s="163"/>
      <c r="I320" s="163"/>
      <c r="J320" s="163" t="s">
        <v>591</v>
      </c>
      <c r="K320" s="174" t="s">
        <v>592</v>
      </c>
      <c r="L320" s="174"/>
      <c r="M320" s="174"/>
      <c r="N320" s="174" t="s">
        <v>592</v>
      </c>
      <c r="O320" s="22" t="s">
        <v>593</v>
      </c>
      <c r="P320" s="24"/>
      <c r="Q320" s="24" t="str">
        <f t="shared" si="24"/>
        <v>medium-grained, banded and veined, white/whitish marble</v>
      </c>
      <c r="R320" s="24" t="s">
        <v>205</v>
      </c>
      <c r="S320" s="24" t="s">
        <v>226</v>
      </c>
      <c r="T320" s="24" t="s">
        <v>243</v>
      </c>
      <c r="U320" s="163" t="s">
        <v>244</v>
      </c>
      <c r="V320" s="163" t="s">
        <v>164</v>
      </c>
      <c r="W320" s="76" t="s">
        <v>190</v>
      </c>
      <c r="X320" s="24" t="s">
        <v>164</v>
      </c>
      <c r="Y320" s="24" t="s">
        <v>164</v>
      </c>
      <c r="Z320" s="24" t="s">
        <v>164</v>
      </c>
      <c r="AA320" s="165"/>
      <c r="AB320" s="165"/>
      <c r="AC320" s="86">
        <v>3.65</v>
      </c>
      <c r="AD320" s="56" t="s">
        <v>183</v>
      </c>
      <c r="AE320" s="166" t="s">
        <v>199</v>
      </c>
      <c r="AF320" s="165" t="s">
        <v>164</v>
      </c>
      <c r="AG320" s="165" t="s">
        <v>166</v>
      </c>
      <c r="AH320" s="165" t="s">
        <v>164</v>
      </c>
      <c r="AI320" s="165" t="s">
        <v>584</v>
      </c>
      <c r="AJ320" s="165" t="s">
        <v>164</v>
      </c>
      <c r="AK320" s="165" t="s">
        <v>164</v>
      </c>
      <c r="AL320" s="165" t="s">
        <v>590</v>
      </c>
      <c r="AM320" s="172"/>
      <c r="AN320" s="175" t="s">
        <v>594</v>
      </c>
      <c r="AO320" s="28">
        <f t="shared" si="25"/>
        <v>0</v>
      </c>
      <c r="AP320" s="172" t="s">
        <v>164</v>
      </c>
      <c r="AQ320" s="167"/>
      <c r="AR320" s="173" t="s">
        <v>164</v>
      </c>
      <c r="AS320" s="167"/>
      <c r="AT320" s="167" t="s">
        <v>164</v>
      </c>
      <c r="AU320" s="167"/>
      <c r="AV320" s="167"/>
      <c r="AW320" s="167"/>
      <c r="AX320" s="167"/>
      <c r="AY320" s="167"/>
      <c r="AZ320" s="167"/>
      <c r="BA320" s="167"/>
      <c r="BB320" s="167"/>
      <c r="BC320" s="167"/>
      <c r="BD320" s="167"/>
      <c r="BE320" s="163" t="s">
        <v>164</v>
      </c>
      <c r="BF320" s="163" t="s">
        <v>164</v>
      </c>
      <c r="BG320" s="163" t="s">
        <v>164</v>
      </c>
      <c r="BH320" s="163" t="s">
        <v>164</v>
      </c>
      <c r="BI320" s="168"/>
      <c r="BJ320" s="168" t="s">
        <v>164</v>
      </c>
      <c r="BK320" s="168"/>
      <c r="BL320" s="168" t="s">
        <v>164</v>
      </c>
      <c r="BM320" s="168"/>
      <c r="BN320" s="168" t="s">
        <v>164</v>
      </c>
      <c r="BO320" s="168"/>
      <c r="BP320" s="168"/>
      <c r="BQ320" s="168"/>
      <c r="BR320" s="168" t="s">
        <v>164</v>
      </c>
      <c r="BS320" s="168"/>
      <c r="BT320" s="168" t="s">
        <v>164</v>
      </c>
      <c r="BU320" s="168"/>
      <c r="BV320" s="168"/>
      <c r="BW320" s="168"/>
      <c r="BX320" s="168" t="s">
        <v>164</v>
      </c>
      <c r="BY320" s="168"/>
      <c r="BZ320" s="168" t="s">
        <v>164</v>
      </c>
      <c r="CA320" s="168"/>
      <c r="CB320" s="168" t="s">
        <v>164</v>
      </c>
      <c r="CC320" s="168"/>
      <c r="CD320" s="168" t="s">
        <v>164</v>
      </c>
      <c r="CE320" s="165" t="s">
        <v>585</v>
      </c>
      <c r="CF320" s="165" t="s">
        <v>585</v>
      </c>
      <c r="CG320" s="165" t="s">
        <v>164</v>
      </c>
      <c r="CH320" s="165" t="s">
        <v>164</v>
      </c>
      <c r="CI320" s="165" t="s">
        <v>164</v>
      </c>
      <c r="CJ320" s="165" t="s">
        <v>585</v>
      </c>
      <c r="CK320" s="165" t="s">
        <v>585</v>
      </c>
      <c r="CL320" s="165" t="s">
        <v>164</v>
      </c>
      <c r="CM320" s="165" t="s">
        <v>164</v>
      </c>
      <c r="CN320" s="165" t="s">
        <v>585</v>
      </c>
      <c r="CO320" s="165" t="s">
        <v>164</v>
      </c>
      <c r="CP320" s="165" t="s">
        <v>585</v>
      </c>
      <c r="CQ320" s="165" t="s">
        <v>585</v>
      </c>
      <c r="CR320" s="165" t="s">
        <v>164</v>
      </c>
      <c r="CS320" s="165" t="s">
        <v>164</v>
      </c>
      <c r="CT320" s="165" t="s">
        <v>164</v>
      </c>
      <c r="CU320" s="165" t="s">
        <v>585</v>
      </c>
      <c r="CV320" s="165" t="s">
        <v>585</v>
      </c>
      <c r="CW320" s="169"/>
      <c r="CX320" s="170"/>
      <c r="CY320" s="170"/>
      <c r="CZ320" s="33"/>
      <c r="DA320" s="33" t="s">
        <v>164</v>
      </c>
      <c r="DB320" s="33" t="s">
        <v>164</v>
      </c>
      <c r="DC320" s="33" t="s">
        <v>164</v>
      </c>
      <c r="DD320" s="33" t="s">
        <v>164</v>
      </c>
      <c r="DE320" s="33" t="s">
        <v>164</v>
      </c>
      <c r="DF320" s="33" t="s">
        <v>164</v>
      </c>
      <c r="DG320" s="33" t="s">
        <v>164</v>
      </c>
      <c r="DH320" s="33" t="s">
        <v>164</v>
      </c>
      <c r="DI320" s="33" t="s">
        <v>164</v>
      </c>
      <c r="DJ320" s="134"/>
      <c r="DK320" s="63"/>
      <c r="DL320" s="63"/>
      <c r="DM320" s="63"/>
      <c r="DN320" s="63"/>
      <c r="DO320" s="63"/>
      <c r="DP320" s="63"/>
      <c r="DQ320" s="63"/>
      <c r="DR320" s="63"/>
      <c r="DS320" s="63"/>
      <c r="DT320" s="63"/>
      <c r="DU320" s="63"/>
      <c r="DV320" s="63"/>
      <c r="DW320" s="63"/>
      <c r="DX320" s="63"/>
      <c r="DY320" s="63"/>
      <c r="DZ320" s="63"/>
      <c r="EA320" s="63"/>
      <c r="EB320" s="63"/>
      <c r="EC320" s="63"/>
      <c r="ED320" s="63"/>
      <c r="EE320" s="63"/>
      <c r="EF320" s="63"/>
      <c r="EG320" s="63"/>
      <c r="EH320" s="63"/>
      <c r="EI320" s="63"/>
      <c r="EJ320" s="63"/>
      <c r="EK320" s="63"/>
      <c r="EL320" s="63"/>
      <c r="EM320" s="63"/>
      <c r="EN320" s="63"/>
      <c r="EO320" s="63"/>
      <c r="EP320" s="63"/>
      <c r="EQ320" s="63"/>
      <c r="ER320" s="63"/>
      <c r="ES320" s="63"/>
      <c r="ET320" s="63"/>
      <c r="EU320" s="63"/>
      <c r="EV320" s="63"/>
      <c r="EW320" s="63"/>
      <c r="EX320" s="63"/>
      <c r="EY320" s="63"/>
      <c r="EZ320" s="33"/>
      <c r="FA320" s="33"/>
      <c r="FB320" s="33"/>
      <c r="FC320" s="33"/>
      <c r="FD320" s="33"/>
      <c r="FE320" s="33"/>
      <c r="FF320" s="33"/>
      <c r="FG320" s="33"/>
      <c r="FH320" s="33"/>
      <c r="FI320" s="33"/>
      <c r="FJ320" s="33"/>
      <c r="FK320" s="33"/>
      <c r="FL320" s="33"/>
      <c r="FM320" s="33"/>
      <c r="FN320" s="33"/>
      <c r="FO320" s="33"/>
      <c r="FP320" s="33"/>
      <c r="FQ320" s="33"/>
      <c r="FR320" s="33"/>
      <c r="FS320" s="33"/>
      <c r="FT320" s="33"/>
      <c r="FU320" s="33"/>
      <c r="FV320" s="33"/>
      <c r="FW320" s="33"/>
      <c r="FX320" s="33"/>
      <c r="FY320" s="33"/>
      <c r="FZ320" s="33"/>
      <c r="GA320" s="33"/>
    </row>
    <row r="321" ht="15.75" customHeight="1">
      <c r="A321" s="44"/>
      <c r="B321" s="24"/>
      <c r="C321" s="24"/>
      <c r="D321" s="24"/>
      <c r="E321" s="24"/>
      <c r="F321" s="24"/>
      <c r="G321" s="24"/>
      <c r="H321" s="24"/>
      <c r="I321" s="24"/>
      <c r="J321" s="24" t="s">
        <v>595</v>
      </c>
      <c r="K321" s="174" t="s">
        <v>592</v>
      </c>
      <c r="L321" s="174"/>
      <c r="M321" s="174"/>
      <c r="N321" s="174" t="s">
        <v>592</v>
      </c>
      <c r="O321" s="22" t="s">
        <v>593</v>
      </c>
      <c r="P321" s="24"/>
      <c r="Q321" s="24" t="str">
        <f t="shared" si="24"/>
        <v>coarse-grained, banded and veined, white marble</v>
      </c>
      <c r="R321" s="24" t="s">
        <v>222</v>
      </c>
      <c r="S321" s="24" t="s">
        <v>189</v>
      </c>
      <c r="T321" s="24" t="s">
        <v>243</v>
      </c>
      <c r="U321" s="163" t="s">
        <v>244</v>
      </c>
      <c r="V321" s="163" t="s">
        <v>164</v>
      </c>
      <c r="W321" s="76" t="s">
        <v>190</v>
      </c>
      <c r="X321" s="24" t="s">
        <v>164</v>
      </c>
      <c r="Y321" s="24" t="s">
        <v>164</v>
      </c>
      <c r="Z321" s="24" t="s">
        <v>164</v>
      </c>
      <c r="AA321" s="165"/>
      <c r="AB321" s="165"/>
      <c r="AC321" s="165"/>
      <c r="AD321" s="165" t="s">
        <v>164</v>
      </c>
      <c r="AE321" s="171"/>
      <c r="AF321" s="165" t="s">
        <v>164</v>
      </c>
      <c r="AG321" s="165" t="s">
        <v>164</v>
      </c>
      <c r="AH321" s="165" t="s">
        <v>164</v>
      </c>
      <c r="AI321" s="165" t="s">
        <v>164</v>
      </c>
      <c r="AJ321" s="165" t="s">
        <v>164</v>
      </c>
      <c r="AK321" s="165" t="s">
        <v>164</v>
      </c>
      <c r="AL321" s="165" t="s">
        <v>164</v>
      </c>
      <c r="AM321" s="172"/>
      <c r="AN321" s="172"/>
      <c r="AO321" s="28">
        <f t="shared" si="25"/>
        <v>0</v>
      </c>
      <c r="AP321" s="172" t="s">
        <v>164</v>
      </c>
      <c r="AQ321" s="173" t="s">
        <v>164</v>
      </c>
      <c r="AR321" s="167" t="s">
        <v>164</v>
      </c>
      <c r="AS321" s="167"/>
      <c r="AT321" s="167"/>
      <c r="AU321" s="167"/>
      <c r="AV321" s="167"/>
      <c r="AW321" s="167"/>
      <c r="AX321" s="167"/>
      <c r="AY321" s="167"/>
      <c r="AZ321" s="167"/>
      <c r="BA321" s="167"/>
      <c r="BB321" s="167"/>
      <c r="BC321" s="167"/>
      <c r="BD321" s="167"/>
      <c r="BE321" s="163" t="s">
        <v>164</v>
      </c>
      <c r="BF321" s="163" t="s">
        <v>164</v>
      </c>
      <c r="BG321" s="163" t="s">
        <v>164</v>
      </c>
      <c r="BH321" s="163" t="s">
        <v>164</v>
      </c>
      <c r="BI321" s="168"/>
      <c r="BJ321" s="168" t="s">
        <v>164</v>
      </c>
      <c r="BK321" s="168"/>
      <c r="BL321" s="168" t="s">
        <v>164</v>
      </c>
      <c r="BM321" s="168"/>
      <c r="BN321" s="168" t="s">
        <v>164</v>
      </c>
      <c r="BO321" s="168"/>
      <c r="BP321" s="168"/>
      <c r="BQ321" s="168"/>
      <c r="BR321" s="168" t="s">
        <v>164</v>
      </c>
      <c r="BS321" s="168"/>
      <c r="BT321" s="168" t="s">
        <v>164</v>
      </c>
      <c r="BU321" s="168"/>
      <c r="BV321" s="168"/>
      <c r="BW321" s="168"/>
      <c r="BX321" s="168" t="s">
        <v>164</v>
      </c>
      <c r="BY321" s="168"/>
      <c r="BZ321" s="168" t="s">
        <v>164</v>
      </c>
      <c r="CA321" s="168"/>
      <c r="CB321" s="168" t="s">
        <v>164</v>
      </c>
      <c r="CC321" s="168"/>
      <c r="CD321" s="168" t="s">
        <v>164</v>
      </c>
      <c r="CE321" s="165" t="s">
        <v>164</v>
      </c>
      <c r="CF321" s="165" t="s">
        <v>164</v>
      </c>
      <c r="CG321" s="165" t="s">
        <v>164</v>
      </c>
      <c r="CH321" s="165" t="s">
        <v>164</v>
      </c>
      <c r="CI321" s="165" t="s">
        <v>164</v>
      </c>
      <c r="CJ321" s="165" t="s">
        <v>164</v>
      </c>
      <c r="CK321" s="165" t="s">
        <v>164</v>
      </c>
      <c r="CL321" s="165" t="s">
        <v>164</v>
      </c>
      <c r="CM321" s="165" t="s">
        <v>164</v>
      </c>
      <c r="CN321" s="165" t="s">
        <v>164</v>
      </c>
      <c r="CO321" s="165" t="s">
        <v>164</v>
      </c>
      <c r="CP321" s="165" t="s">
        <v>164</v>
      </c>
      <c r="CQ321" s="165" t="s">
        <v>164</v>
      </c>
      <c r="CR321" s="165" t="s">
        <v>164</v>
      </c>
      <c r="CS321" s="165" t="s">
        <v>164</v>
      </c>
      <c r="CT321" s="165" t="s">
        <v>164</v>
      </c>
      <c r="CU321" s="165" t="s">
        <v>164</v>
      </c>
      <c r="CV321" s="165" t="s">
        <v>164</v>
      </c>
      <c r="CW321" s="169"/>
      <c r="CX321" s="176">
        <v>3.19</v>
      </c>
      <c r="CY321" s="176">
        <v>-1.31</v>
      </c>
      <c r="CZ321" s="33"/>
      <c r="DA321" s="33" t="s">
        <v>164</v>
      </c>
      <c r="DB321" s="33" t="s">
        <v>164</v>
      </c>
      <c r="DC321" s="33" t="s">
        <v>164</v>
      </c>
      <c r="DD321" s="33" t="s">
        <v>164</v>
      </c>
      <c r="DE321" s="33" t="s">
        <v>164</v>
      </c>
      <c r="DF321" s="33" t="s">
        <v>164</v>
      </c>
      <c r="DG321" s="33" t="s">
        <v>164</v>
      </c>
      <c r="DH321" s="33" t="s">
        <v>164</v>
      </c>
      <c r="DI321" s="33" t="s">
        <v>164</v>
      </c>
      <c r="DJ321" s="33"/>
      <c r="DK321" s="33"/>
      <c r="DL321" s="33"/>
      <c r="DM321" s="33"/>
      <c r="DN321" s="33"/>
      <c r="DO321" s="33"/>
      <c r="DP321" s="33"/>
      <c r="DQ321" s="33"/>
      <c r="DR321" s="33"/>
      <c r="DS321" s="33"/>
      <c r="DT321" s="33"/>
      <c r="DU321" s="33"/>
      <c r="DV321" s="33"/>
      <c r="DW321" s="33"/>
      <c r="DX321" s="33"/>
      <c r="DY321" s="33"/>
      <c r="DZ321" s="33"/>
      <c r="EA321" s="33"/>
      <c r="EB321" s="33"/>
      <c r="EC321" s="33"/>
      <c r="ED321" s="33"/>
      <c r="EE321" s="33"/>
      <c r="EF321" s="33"/>
      <c r="EG321" s="33"/>
      <c r="EH321" s="33"/>
      <c r="EI321" s="33"/>
      <c r="EJ321" s="33"/>
      <c r="EK321" s="33"/>
      <c r="EL321" s="33"/>
      <c r="EM321" s="33"/>
      <c r="EN321" s="33"/>
      <c r="EO321" s="33"/>
      <c r="EP321" s="33"/>
      <c r="EQ321" s="33"/>
      <c r="ER321" s="33"/>
      <c r="ES321" s="33"/>
      <c r="ET321" s="33"/>
      <c r="EU321" s="33"/>
      <c r="EV321" s="33"/>
      <c r="EW321" s="33"/>
      <c r="EX321" s="33"/>
      <c r="EY321" s="33"/>
      <c r="EZ321" s="33"/>
      <c r="FA321" s="33"/>
      <c r="FB321" s="33"/>
      <c r="FC321" s="33"/>
      <c r="FD321" s="33"/>
      <c r="FE321" s="33"/>
      <c r="FF321" s="33"/>
      <c r="FG321" s="33"/>
      <c r="FH321" s="33"/>
      <c r="FI321" s="33"/>
      <c r="FJ321" s="33"/>
      <c r="FK321" s="33"/>
      <c r="FL321" s="33"/>
      <c r="FM321" s="33"/>
      <c r="FN321" s="33"/>
      <c r="FO321" s="33"/>
      <c r="FP321" s="33"/>
      <c r="FQ321" s="33"/>
      <c r="FR321" s="33"/>
      <c r="FS321" s="33"/>
      <c r="FT321" s="33"/>
      <c r="FU321" s="33"/>
      <c r="FV321" s="33"/>
      <c r="FW321" s="33"/>
      <c r="FX321" s="33"/>
      <c r="FY321" s="33"/>
      <c r="FZ321" s="33"/>
      <c r="GA321" s="33"/>
    </row>
    <row r="322" ht="15.75" customHeight="1">
      <c r="A322" s="20"/>
      <c r="B322" s="20"/>
      <c r="C322" s="165"/>
      <c r="D322" s="165"/>
      <c r="E322" s="165"/>
      <c r="F322" s="165"/>
      <c r="G322" s="165"/>
      <c r="H322" s="165"/>
      <c r="I322" s="165"/>
      <c r="J322" s="165" t="s">
        <v>581</v>
      </c>
      <c r="K322" s="87" t="s">
        <v>587</v>
      </c>
      <c r="L322" s="87"/>
      <c r="M322" s="87"/>
      <c r="N322" s="87" t="s">
        <v>587</v>
      </c>
      <c r="O322" s="177" t="s">
        <v>596</v>
      </c>
      <c r="P322" s="35"/>
      <c r="Q322" s="24" t="str">
        <f t="shared" si="24"/>
        <v>coarse-grained, homogeneous,  marble</v>
      </c>
      <c r="R322" s="35" t="s">
        <v>222</v>
      </c>
      <c r="S322" s="35" t="s">
        <v>164</v>
      </c>
      <c r="T322" s="35" t="s">
        <v>194</v>
      </c>
      <c r="U322" s="165" t="s">
        <v>164</v>
      </c>
      <c r="V322" s="165" t="s">
        <v>164</v>
      </c>
      <c r="W322" s="76" t="s">
        <v>190</v>
      </c>
      <c r="X322" s="35" t="s">
        <v>164</v>
      </c>
      <c r="Y322" s="35" t="s">
        <v>164</v>
      </c>
      <c r="Z322" s="35" t="s">
        <v>164</v>
      </c>
      <c r="AA322" s="165"/>
      <c r="AB322" s="165"/>
      <c r="AC322" s="86" t="s">
        <v>166</v>
      </c>
      <c r="AD322" s="56" t="s">
        <v>183</v>
      </c>
      <c r="AE322" s="166" t="s">
        <v>207</v>
      </c>
      <c r="AF322" s="165" t="s">
        <v>164</v>
      </c>
      <c r="AG322" s="165" t="s">
        <v>166</v>
      </c>
      <c r="AH322" s="165" t="s">
        <v>164</v>
      </c>
      <c r="AI322" s="165" t="s">
        <v>584</v>
      </c>
      <c r="AJ322" s="165" t="s">
        <v>164</v>
      </c>
      <c r="AK322" s="165" t="s">
        <v>164</v>
      </c>
      <c r="AL322" s="165" t="s">
        <v>584</v>
      </c>
      <c r="AM322" s="178"/>
      <c r="AN322" s="178"/>
      <c r="AO322" s="28">
        <f t="shared" si="25"/>
        <v>0</v>
      </c>
      <c r="AP322" s="178" t="s">
        <v>164</v>
      </c>
      <c r="AQ322" s="178"/>
      <c r="AR322" s="178" t="s">
        <v>164</v>
      </c>
      <c r="AS322" s="178"/>
      <c r="AT322" s="178" t="s">
        <v>164</v>
      </c>
      <c r="AU322" s="178"/>
      <c r="AV322" s="178"/>
      <c r="AW322" s="178"/>
      <c r="AX322" s="178"/>
      <c r="AY322" s="178"/>
      <c r="AZ322" s="178"/>
      <c r="BA322" s="178"/>
      <c r="BB322" s="178"/>
      <c r="BC322" s="178"/>
      <c r="BD322" s="178"/>
      <c r="BE322" s="165" t="s">
        <v>164</v>
      </c>
      <c r="BF322" s="165" t="s">
        <v>164</v>
      </c>
      <c r="BG322" s="165" t="s">
        <v>164</v>
      </c>
      <c r="BH322" s="165" t="s">
        <v>164</v>
      </c>
      <c r="BI322" s="179"/>
      <c r="BJ322" s="179" t="s">
        <v>164</v>
      </c>
      <c r="BK322" s="179"/>
      <c r="BL322" s="179" t="s">
        <v>164</v>
      </c>
      <c r="BM322" s="179"/>
      <c r="BN322" s="179" t="s">
        <v>164</v>
      </c>
      <c r="BO322" s="179"/>
      <c r="BP322" s="179"/>
      <c r="BQ322" s="179"/>
      <c r="BR322" s="179" t="s">
        <v>164</v>
      </c>
      <c r="BS322" s="179"/>
      <c r="BT322" s="179" t="s">
        <v>164</v>
      </c>
      <c r="BU322" s="179"/>
      <c r="BV322" s="179"/>
      <c r="BW322" s="179"/>
      <c r="BX322" s="179" t="s">
        <v>164</v>
      </c>
      <c r="BY322" s="179"/>
      <c r="BZ322" s="179" t="s">
        <v>164</v>
      </c>
      <c r="CA322" s="179"/>
      <c r="CB322" s="179" t="s">
        <v>164</v>
      </c>
      <c r="CC322" s="179"/>
      <c r="CD322" s="179" t="s">
        <v>164</v>
      </c>
      <c r="CE322" s="165" t="s">
        <v>164</v>
      </c>
      <c r="CF322" s="165" t="s">
        <v>585</v>
      </c>
      <c r="CG322" s="165" t="s">
        <v>164</v>
      </c>
      <c r="CH322" s="165" t="s">
        <v>164</v>
      </c>
      <c r="CI322" s="165" t="s">
        <v>164</v>
      </c>
      <c r="CJ322" s="165" t="s">
        <v>164</v>
      </c>
      <c r="CK322" s="165" t="s">
        <v>585</v>
      </c>
      <c r="CL322" s="165" t="s">
        <v>164</v>
      </c>
      <c r="CM322" s="165" t="s">
        <v>585</v>
      </c>
      <c r="CN322" s="165" t="s">
        <v>164</v>
      </c>
      <c r="CO322" s="165" t="s">
        <v>585</v>
      </c>
      <c r="CP322" s="165" t="s">
        <v>164</v>
      </c>
      <c r="CQ322" s="165" t="s">
        <v>164</v>
      </c>
      <c r="CR322" s="165" t="s">
        <v>164</v>
      </c>
      <c r="CS322" s="165" t="s">
        <v>164</v>
      </c>
      <c r="CT322" s="165" t="s">
        <v>164</v>
      </c>
      <c r="CU322" s="165" t="s">
        <v>164</v>
      </c>
      <c r="CV322" s="165" t="s">
        <v>164</v>
      </c>
      <c r="CW322" s="169"/>
      <c r="CX322" s="170"/>
      <c r="CY322" s="170"/>
      <c r="CZ322" s="33"/>
      <c r="DA322" s="33" t="s">
        <v>164</v>
      </c>
      <c r="DB322" s="33" t="s">
        <v>164</v>
      </c>
      <c r="DC322" s="33" t="s">
        <v>164</v>
      </c>
      <c r="DD322" s="33" t="s">
        <v>164</v>
      </c>
      <c r="DE322" s="33" t="s">
        <v>164</v>
      </c>
      <c r="DF322" s="33" t="s">
        <v>164</v>
      </c>
      <c r="DG322" s="33" t="s">
        <v>164</v>
      </c>
      <c r="DH322" s="33" t="s">
        <v>164</v>
      </c>
      <c r="DI322" s="33" t="s">
        <v>164</v>
      </c>
      <c r="FA322" s="33"/>
      <c r="FB322" s="33"/>
      <c r="FC322" s="33"/>
      <c r="FD322" s="33"/>
      <c r="FE322" s="33"/>
      <c r="FF322" s="33"/>
      <c r="FG322" s="33"/>
      <c r="FH322" s="33"/>
      <c r="FI322" s="33"/>
      <c r="FJ322" s="33"/>
      <c r="FK322" s="33"/>
      <c r="FL322" s="33"/>
      <c r="FM322" s="33"/>
      <c r="FN322" s="33"/>
      <c r="FO322" s="33"/>
      <c r="FP322" s="33"/>
      <c r="FQ322" s="33"/>
      <c r="FR322" s="33"/>
      <c r="FS322" s="33"/>
      <c r="FT322" s="33"/>
      <c r="FU322" s="33"/>
      <c r="FV322" s="33"/>
      <c r="FW322" s="33"/>
      <c r="FX322" s="33"/>
      <c r="FY322" s="33"/>
      <c r="FZ322" s="33"/>
      <c r="GA322" s="33"/>
    </row>
    <row r="323" ht="15.75" customHeight="1">
      <c r="A323" s="44"/>
      <c r="B323" s="24"/>
      <c r="C323" s="35"/>
      <c r="D323" s="35"/>
      <c r="E323" s="35"/>
      <c r="F323" s="35"/>
      <c r="G323" s="35"/>
      <c r="H323" s="35"/>
      <c r="I323" s="35"/>
      <c r="J323" s="35" t="s">
        <v>586</v>
      </c>
      <c r="K323" s="87" t="s">
        <v>597</v>
      </c>
      <c r="L323" s="87"/>
      <c r="M323" s="87"/>
      <c r="N323" s="87" t="s">
        <v>597</v>
      </c>
      <c r="O323" s="180" t="s">
        <v>598</v>
      </c>
      <c r="P323" s="35"/>
      <c r="Q323" s="24" t="str">
        <f t="shared" si="24"/>
        <v>-grained, homogeneous, white marble</v>
      </c>
      <c r="R323" s="35" t="s">
        <v>164</v>
      </c>
      <c r="S323" s="35" t="s">
        <v>189</v>
      </c>
      <c r="T323" s="35" t="s">
        <v>194</v>
      </c>
      <c r="U323" s="165" t="s">
        <v>164</v>
      </c>
      <c r="V323" s="165" t="s">
        <v>164</v>
      </c>
      <c r="W323" s="76" t="s">
        <v>190</v>
      </c>
      <c r="X323" s="35" t="s">
        <v>164</v>
      </c>
      <c r="Y323" s="35" t="s">
        <v>164</v>
      </c>
      <c r="Z323" s="35" t="s">
        <v>164</v>
      </c>
      <c r="AA323" s="165"/>
      <c r="AB323" s="165"/>
      <c r="AC323" s="165" t="s">
        <v>164</v>
      </c>
      <c r="AD323" s="165" t="s">
        <v>164</v>
      </c>
      <c r="AE323" s="171"/>
      <c r="AF323" s="165" t="s">
        <v>164</v>
      </c>
      <c r="AG323" s="165" t="s">
        <v>164</v>
      </c>
      <c r="AH323" s="165" t="s">
        <v>164</v>
      </c>
      <c r="AI323" s="165" t="s">
        <v>164</v>
      </c>
      <c r="AJ323" s="165" t="s">
        <v>164</v>
      </c>
      <c r="AK323" s="165" t="s">
        <v>164</v>
      </c>
      <c r="AL323" s="165" t="s">
        <v>164</v>
      </c>
      <c r="AM323" s="181"/>
      <c r="AN323" s="181"/>
      <c r="AO323" s="28">
        <f t="shared" si="25"/>
        <v>100</v>
      </c>
      <c r="AP323" s="181">
        <v>96.64</v>
      </c>
      <c r="AQ323" s="178"/>
      <c r="AR323" s="182">
        <v>3.36</v>
      </c>
      <c r="AS323" s="178"/>
      <c r="AT323" s="178" t="s">
        <v>164</v>
      </c>
      <c r="AU323" s="178"/>
      <c r="AV323" s="178"/>
      <c r="AW323" s="178"/>
      <c r="AX323" s="178"/>
      <c r="AY323" s="178"/>
      <c r="AZ323" s="178"/>
      <c r="BA323" s="178"/>
      <c r="BB323" s="178"/>
      <c r="BC323" s="178"/>
      <c r="BD323" s="178"/>
      <c r="BE323" s="165" t="s">
        <v>164</v>
      </c>
      <c r="BF323" s="165" t="s">
        <v>164</v>
      </c>
      <c r="BG323" s="165" t="s">
        <v>164</v>
      </c>
      <c r="BH323" s="165" t="s">
        <v>164</v>
      </c>
      <c r="BI323" s="179"/>
      <c r="BJ323" s="179" t="s">
        <v>164</v>
      </c>
      <c r="BK323" s="179"/>
      <c r="BL323" s="179" t="s">
        <v>164</v>
      </c>
      <c r="BM323" s="179"/>
      <c r="BN323" s="179" t="s">
        <v>164</v>
      </c>
      <c r="BO323" s="179"/>
      <c r="BP323" s="179"/>
      <c r="BQ323" s="179"/>
      <c r="BR323" s="179" t="s">
        <v>164</v>
      </c>
      <c r="BS323" s="179"/>
      <c r="BT323" s="179" t="s">
        <v>164</v>
      </c>
      <c r="BU323" s="179"/>
      <c r="BV323" s="179"/>
      <c r="BW323" s="179"/>
      <c r="BX323" s="179" t="s">
        <v>164</v>
      </c>
      <c r="BY323" s="179"/>
      <c r="BZ323" s="179" t="s">
        <v>164</v>
      </c>
      <c r="CA323" s="179"/>
      <c r="CB323" s="179" t="s">
        <v>164</v>
      </c>
      <c r="CC323" s="179"/>
      <c r="CD323" s="179" t="s">
        <v>164</v>
      </c>
      <c r="CE323" s="165" t="s">
        <v>585</v>
      </c>
      <c r="CF323" s="165" t="s">
        <v>164</v>
      </c>
      <c r="CG323" s="165" t="s">
        <v>164</v>
      </c>
      <c r="CH323" s="165" t="s">
        <v>164</v>
      </c>
      <c r="CI323" s="165" t="s">
        <v>164</v>
      </c>
      <c r="CJ323" s="165" t="s">
        <v>164</v>
      </c>
      <c r="CK323" s="165" t="s">
        <v>164</v>
      </c>
      <c r="CL323" s="165" t="s">
        <v>164</v>
      </c>
      <c r="CM323" s="165" t="s">
        <v>164</v>
      </c>
      <c r="CN323" s="165" t="s">
        <v>164</v>
      </c>
      <c r="CO323" s="165" t="s">
        <v>164</v>
      </c>
      <c r="CP323" s="165" t="s">
        <v>164</v>
      </c>
      <c r="CQ323" s="165" t="s">
        <v>164</v>
      </c>
      <c r="CR323" s="165" t="s">
        <v>164</v>
      </c>
      <c r="CS323" s="165" t="s">
        <v>164</v>
      </c>
      <c r="CT323" s="165" t="s">
        <v>164</v>
      </c>
      <c r="CU323" s="165" t="s">
        <v>164</v>
      </c>
      <c r="CV323" s="165" t="s">
        <v>164</v>
      </c>
      <c r="CW323" s="169"/>
      <c r="CX323" s="170"/>
      <c r="CY323" s="170"/>
      <c r="CZ323" s="33"/>
      <c r="DA323" s="33" t="s">
        <v>164</v>
      </c>
      <c r="DB323" s="33" t="s">
        <v>164</v>
      </c>
      <c r="DC323" s="33" t="s">
        <v>164</v>
      </c>
      <c r="DD323" s="33" t="s">
        <v>164</v>
      </c>
      <c r="DE323" s="33" t="s">
        <v>164</v>
      </c>
      <c r="DF323" s="33" t="s">
        <v>164</v>
      </c>
      <c r="DG323" s="33" t="s">
        <v>164</v>
      </c>
      <c r="DH323" s="33" t="s">
        <v>164</v>
      </c>
      <c r="DI323" s="33" t="s">
        <v>164</v>
      </c>
      <c r="DJ323" s="134"/>
      <c r="DK323" s="63"/>
      <c r="DL323" s="63"/>
      <c r="DM323" s="63"/>
      <c r="DN323" s="63"/>
      <c r="DO323" s="63"/>
      <c r="DP323" s="63"/>
      <c r="DQ323" s="63"/>
      <c r="DR323" s="63"/>
      <c r="DS323" s="63"/>
      <c r="DT323" s="63"/>
      <c r="DU323" s="63"/>
      <c r="DV323" s="63"/>
      <c r="DW323" s="63"/>
      <c r="DX323" s="63"/>
      <c r="DY323" s="63"/>
      <c r="DZ323" s="63"/>
      <c r="EA323" s="63"/>
      <c r="EB323" s="63"/>
      <c r="EC323" s="63"/>
      <c r="ED323" s="63"/>
      <c r="EE323" s="63"/>
      <c r="EF323" s="63"/>
      <c r="EG323" s="63"/>
      <c r="EH323" s="63"/>
      <c r="EI323" s="63"/>
      <c r="EJ323" s="63"/>
      <c r="EK323" s="63"/>
      <c r="EL323" s="63"/>
      <c r="EM323" s="63"/>
      <c r="EN323" s="63"/>
      <c r="EO323" s="63"/>
      <c r="EP323" s="63"/>
      <c r="EQ323" s="63"/>
      <c r="ER323" s="63"/>
      <c r="ES323" s="63"/>
      <c r="ET323" s="63"/>
      <c r="EU323" s="63"/>
      <c r="EV323" s="63"/>
      <c r="EW323" s="63"/>
      <c r="EX323" s="63"/>
      <c r="EY323" s="63"/>
      <c r="EZ323" s="33"/>
      <c r="FA323" s="33"/>
      <c r="FB323" s="33"/>
      <c r="FC323" s="33"/>
      <c r="FD323" s="33"/>
      <c r="FE323" s="33"/>
      <c r="FF323" s="33"/>
      <c r="FG323" s="33"/>
      <c r="FH323" s="33"/>
      <c r="FI323" s="33"/>
      <c r="FJ323" s="33"/>
      <c r="FK323" s="33"/>
      <c r="FL323" s="33"/>
      <c r="FM323" s="33"/>
      <c r="FN323" s="33"/>
      <c r="FO323" s="33"/>
      <c r="FP323" s="33"/>
      <c r="FQ323" s="33"/>
      <c r="FR323" s="33"/>
      <c r="FS323" s="33"/>
      <c r="FT323" s="33"/>
      <c r="FU323" s="33"/>
      <c r="FV323" s="33"/>
      <c r="FW323" s="33"/>
      <c r="FX323" s="33"/>
      <c r="FY323" s="33"/>
      <c r="FZ323" s="33"/>
      <c r="GA323" s="33"/>
    </row>
    <row r="324" ht="15.75" customHeight="1">
      <c r="A324" s="44"/>
      <c r="B324" s="24"/>
      <c r="C324" s="35"/>
      <c r="D324" s="35"/>
      <c r="E324" s="35"/>
      <c r="F324" s="35"/>
      <c r="G324" s="35"/>
      <c r="H324" s="35"/>
      <c r="I324" s="35"/>
      <c r="J324" s="35" t="s">
        <v>586</v>
      </c>
      <c r="K324" s="87" t="s">
        <v>597</v>
      </c>
      <c r="L324" s="87"/>
      <c r="M324" s="87"/>
      <c r="N324" s="87" t="s">
        <v>597</v>
      </c>
      <c r="O324" s="180" t="s">
        <v>598</v>
      </c>
      <c r="P324" s="35"/>
      <c r="Q324" s="24" t="str">
        <f t="shared" si="24"/>
        <v>-grained, homogeneous, white marble</v>
      </c>
      <c r="R324" s="35" t="s">
        <v>164</v>
      </c>
      <c r="S324" s="35" t="s">
        <v>189</v>
      </c>
      <c r="T324" s="35" t="s">
        <v>194</v>
      </c>
      <c r="U324" s="165" t="s">
        <v>164</v>
      </c>
      <c r="V324" s="165" t="s">
        <v>164</v>
      </c>
      <c r="W324" s="76" t="s">
        <v>190</v>
      </c>
      <c r="X324" s="35" t="s">
        <v>164</v>
      </c>
      <c r="Y324" s="35" t="s">
        <v>164</v>
      </c>
      <c r="Z324" s="35" t="s">
        <v>164</v>
      </c>
      <c r="AA324" s="165"/>
      <c r="AB324" s="165"/>
      <c r="AC324" s="165" t="s">
        <v>164</v>
      </c>
      <c r="AD324" s="165" t="s">
        <v>164</v>
      </c>
      <c r="AE324" s="171"/>
      <c r="AF324" s="165" t="s">
        <v>164</v>
      </c>
      <c r="AG324" s="165" t="s">
        <v>164</v>
      </c>
      <c r="AH324" s="165" t="s">
        <v>164</v>
      </c>
      <c r="AI324" s="165" t="s">
        <v>164</v>
      </c>
      <c r="AJ324" s="165" t="s">
        <v>164</v>
      </c>
      <c r="AK324" s="165" t="s">
        <v>164</v>
      </c>
      <c r="AL324" s="165" t="s">
        <v>164</v>
      </c>
      <c r="AM324" s="181"/>
      <c r="AN324" s="181"/>
      <c r="AO324" s="28">
        <f t="shared" si="25"/>
        <v>100</v>
      </c>
      <c r="AP324" s="181">
        <v>92.85</v>
      </c>
      <c r="AQ324" s="178"/>
      <c r="AR324" s="182">
        <v>7.15</v>
      </c>
      <c r="AS324" s="178"/>
      <c r="AT324" s="178" t="s">
        <v>164</v>
      </c>
      <c r="AU324" s="178"/>
      <c r="AV324" s="178"/>
      <c r="AW324" s="178"/>
      <c r="AX324" s="178"/>
      <c r="AY324" s="178"/>
      <c r="AZ324" s="178"/>
      <c r="BA324" s="178"/>
      <c r="BB324" s="178"/>
      <c r="BC324" s="178"/>
      <c r="BD324" s="178"/>
      <c r="BE324" s="165" t="s">
        <v>164</v>
      </c>
      <c r="BF324" s="165" t="s">
        <v>164</v>
      </c>
      <c r="BG324" s="165" t="s">
        <v>164</v>
      </c>
      <c r="BH324" s="165" t="s">
        <v>164</v>
      </c>
      <c r="BI324" s="179"/>
      <c r="BJ324" s="179" t="s">
        <v>164</v>
      </c>
      <c r="BK324" s="179"/>
      <c r="BL324" s="179" t="s">
        <v>164</v>
      </c>
      <c r="BM324" s="179"/>
      <c r="BN324" s="179" t="s">
        <v>164</v>
      </c>
      <c r="BO324" s="179"/>
      <c r="BP324" s="179"/>
      <c r="BQ324" s="179"/>
      <c r="BR324" s="179" t="s">
        <v>164</v>
      </c>
      <c r="BS324" s="179"/>
      <c r="BT324" s="179" t="s">
        <v>164</v>
      </c>
      <c r="BU324" s="179"/>
      <c r="BV324" s="179"/>
      <c r="BW324" s="179"/>
      <c r="BX324" s="179" t="s">
        <v>164</v>
      </c>
      <c r="BY324" s="179"/>
      <c r="BZ324" s="179" t="s">
        <v>164</v>
      </c>
      <c r="CA324" s="179"/>
      <c r="CB324" s="179" t="s">
        <v>164</v>
      </c>
      <c r="CC324" s="179"/>
      <c r="CD324" s="179" t="s">
        <v>164</v>
      </c>
      <c r="CE324" s="165" t="s">
        <v>585</v>
      </c>
      <c r="CF324" s="165" t="s">
        <v>164</v>
      </c>
      <c r="CG324" s="165" t="s">
        <v>164</v>
      </c>
      <c r="CH324" s="165" t="s">
        <v>164</v>
      </c>
      <c r="CI324" s="165" t="s">
        <v>164</v>
      </c>
      <c r="CJ324" s="165" t="s">
        <v>164</v>
      </c>
      <c r="CK324" s="165" t="s">
        <v>164</v>
      </c>
      <c r="CL324" s="165" t="s">
        <v>164</v>
      </c>
      <c r="CM324" s="165" t="s">
        <v>164</v>
      </c>
      <c r="CN324" s="165" t="s">
        <v>164</v>
      </c>
      <c r="CO324" s="165" t="s">
        <v>164</v>
      </c>
      <c r="CP324" s="165" t="s">
        <v>164</v>
      </c>
      <c r="CQ324" s="165" t="s">
        <v>164</v>
      </c>
      <c r="CR324" s="165" t="s">
        <v>164</v>
      </c>
      <c r="CS324" s="165" t="s">
        <v>164</v>
      </c>
      <c r="CT324" s="165" t="s">
        <v>164</v>
      </c>
      <c r="CU324" s="165" t="s">
        <v>164</v>
      </c>
      <c r="CV324" s="165" t="s">
        <v>164</v>
      </c>
      <c r="CW324" s="169"/>
      <c r="CX324" s="170"/>
      <c r="CY324" s="170"/>
      <c r="CZ324" s="33"/>
      <c r="DA324" s="33" t="s">
        <v>164</v>
      </c>
      <c r="DB324" s="33" t="s">
        <v>164</v>
      </c>
      <c r="DC324" s="33" t="s">
        <v>164</v>
      </c>
      <c r="DD324" s="33" t="s">
        <v>164</v>
      </c>
      <c r="DE324" s="33" t="s">
        <v>164</v>
      </c>
      <c r="DF324" s="33" t="s">
        <v>164</v>
      </c>
      <c r="DG324" s="33" t="s">
        <v>164</v>
      </c>
      <c r="DH324" s="33" t="s">
        <v>164</v>
      </c>
      <c r="DI324" s="33" t="s">
        <v>164</v>
      </c>
      <c r="DJ324" s="134"/>
      <c r="DK324" s="63"/>
      <c r="DL324" s="63"/>
      <c r="DM324" s="63"/>
      <c r="DN324" s="63"/>
      <c r="DO324" s="63"/>
      <c r="DP324" s="63"/>
      <c r="DQ324" s="63"/>
      <c r="DR324" s="63"/>
      <c r="DS324" s="63"/>
      <c r="DT324" s="63"/>
      <c r="DU324" s="63"/>
      <c r="DV324" s="63"/>
      <c r="DW324" s="63"/>
      <c r="DX324" s="63"/>
      <c r="DY324" s="63"/>
      <c r="DZ324" s="63"/>
      <c r="EA324" s="63"/>
      <c r="EB324" s="63"/>
      <c r="EC324" s="63"/>
      <c r="ED324" s="63"/>
      <c r="EE324" s="63"/>
      <c r="EF324" s="63"/>
      <c r="EG324" s="63"/>
      <c r="EH324" s="63"/>
      <c r="EI324" s="63"/>
      <c r="EJ324" s="63"/>
      <c r="EK324" s="63"/>
      <c r="EL324" s="63"/>
      <c r="EM324" s="63"/>
      <c r="EN324" s="63"/>
      <c r="EO324" s="63"/>
      <c r="EP324" s="63"/>
      <c r="EQ324" s="63"/>
      <c r="ER324" s="63"/>
      <c r="ES324" s="63"/>
      <c r="ET324" s="63"/>
      <c r="EU324" s="63"/>
      <c r="EV324" s="63"/>
      <c r="EW324" s="63"/>
      <c r="EX324" s="63"/>
      <c r="EY324" s="63"/>
      <c r="EZ324" s="33"/>
      <c r="FA324" s="33"/>
      <c r="FB324" s="33"/>
      <c r="FC324" s="33"/>
      <c r="FD324" s="33"/>
      <c r="FE324" s="33"/>
      <c r="FF324" s="33"/>
      <c r="FG324" s="33"/>
      <c r="FH324" s="33"/>
      <c r="FI324" s="33"/>
      <c r="FJ324" s="33"/>
      <c r="FK324" s="33"/>
      <c r="FL324" s="33"/>
      <c r="FM324" s="33"/>
      <c r="FN324" s="33"/>
      <c r="FO324" s="33"/>
      <c r="FP324" s="33"/>
      <c r="FQ324" s="33"/>
      <c r="FR324" s="33"/>
      <c r="FS324" s="33"/>
      <c r="FT324" s="33"/>
      <c r="FU324" s="33"/>
      <c r="FV324" s="33"/>
      <c r="FW324" s="33"/>
      <c r="FX324" s="33"/>
      <c r="FY324" s="33"/>
      <c r="FZ324" s="33"/>
      <c r="GA324" s="33"/>
    </row>
    <row r="325" ht="15.75" customHeight="1">
      <c r="A325" s="20"/>
      <c r="B325" s="20"/>
      <c r="C325" s="165"/>
      <c r="D325" s="165"/>
      <c r="E325" s="165"/>
      <c r="F325" s="165"/>
      <c r="G325" s="165"/>
      <c r="H325" s="165"/>
      <c r="I325" s="165"/>
      <c r="J325" s="165" t="s">
        <v>581</v>
      </c>
      <c r="K325" s="87" t="s">
        <v>330</v>
      </c>
      <c r="L325" s="87"/>
      <c r="M325" s="87"/>
      <c r="N325" s="87" t="s">
        <v>330</v>
      </c>
      <c r="O325" s="177" t="s">
        <v>599</v>
      </c>
      <c r="P325" s="35"/>
      <c r="Q325" s="24" t="str">
        <f t="shared" si="24"/>
        <v>medium-grained, homogeneous,  marble</v>
      </c>
      <c r="R325" s="35" t="s">
        <v>205</v>
      </c>
      <c r="S325" s="35" t="s">
        <v>164</v>
      </c>
      <c r="T325" s="35" t="s">
        <v>194</v>
      </c>
      <c r="U325" s="165" t="s">
        <v>164</v>
      </c>
      <c r="V325" s="165" t="s">
        <v>164</v>
      </c>
      <c r="W325" s="76" t="s">
        <v>190</v>
      </c>
      <c r="X325" s="35" t="s">
        <v>164</v>
      </c>
      <c r="Y325" s="35" t="s">
        <v>164</v>
      </c>
      <c r="Z325" s="35" t="s">
        <v>164</v>
      </c>
      <c r="AA325" s="165"/>
      <c r="AB325" s="165"/>
      <c r="AC325" s="86" t="s">
        <v>166</v>
      </c>
      <c r="AD325" s="56" t="s">
        <v>209</v>
      </c>
      <c r="AE325" s="166" t="s">
        <v>207</v>
      </c>
      <c r="AF325" s="165" t="s">
        <v>164</v>
      </c>
      <c r="AG325" s="165" t="s">
        <v>166</v>
      </c>
      <c r="AH325" s="165" t="s">
        <v>164</v>
      </c>
      <c r="AI325" s="165" t="s">
        <v>164</v>
      </c>
      <c r="AJ325" s="165" t="s">
        <v>164</v>
      </c>
      <c r="AK325" s="165" t="s">
        <v>164</v>
      </c>
      <c r="AL325" s="165" t="s">
        <v>590</v>
      </c>
      <c r="AM325" s="178"/>
      <c r="AN325" s="178"/>
      <c r="AO325" s="28">
        <f t="shared" si="25"/>
        <v>0</v>
      </c>
      <c r="AP325" s="178" t="s">
        <v>164</v>
      </c>
      <c r="AQ325" s="178"/>
      <c r="AR325" s="178" t="s">
        <v>164</v>
      </c>
      <c r="AS325" s="178"/>
      <c r="AT325" s="178" t="s">
        <v>164</v>
      </c>
      <c r="AU325" s="178"/>
      <c r="AV325" s="178"/>
      <c r="AW325" s="178"/>
      <c r="AX325" s="178"/>
      <c r="AY325" s="178"/>
      <c r="AZ325" s="178"/>
      <c r="BA325" s="178"/>
      <c r="BB325" s="178"/>
      <c r="BC325" s="178"/>
      <c r="BD325" s="178"/>
      <c r="BE325" s="165" t="s">
        <v>164</v>
      </c>
      <c r="BF325" s="165" t="s">
        <v>164</v>
      </c>
      <c r="BG325" s="165" t="s">
        <v>164</v>
      </c>
      <c r="BH325" s="165" t="s">
        <v>164</v>
      </c>
      <c r="BI325" s="179"/>
      <c r="BJ325" s="179" t="s">
        <v>164</v>
      </c>
      <c r="BK325" s="179"/>
      <c r="BL325" s="179" t="s">
        <v>164</v>
      </c>
      <c r="BM325" s="179"/>
      <c r="BN325" s="179" t="s">
        <v>164</v>
      </c>
      <c r="BO325" s="179"/>
      <c r="BP325" s="179"/>
      <c r="BQ325" s="179"/>
      <c r="BR325" s="179" t="s">
        <v>164</v>
      </c>
      <c r="BS325" s="179"/>
      <c r="BT325" s="179" t="s">
        <v>164</v>
      </c>
      <c r="BU325" s="179"/>
      <c r="BV325" s="179"/>
      <c r="BW325" s="179"/>
      <c r="BX325" s="179" t="s">
        <v>164</v>
      </c>
      <c r="BY325" s="179"/>
      <c r="BZ325" s="179" t="s">
        <v>164</v>
      </c>
      <c r="CA325" s="179"/>
      <c r="CB325" s="179" t="s">
        <v>164</v>
      </c>
      <c r="CC325" s="179"/>
      <c r="CD325" s="179" t="s">
        <v>164</v>
      </c>
      <c r="CE325" s="165" t="s">
        <v>600</v>
      </c>
      <c r="CF325" s="165" t="s">
        <v>164</v>
      </c>
      <c r="CG325" s="165" t="s">
        <v>164</v>
      </c>
      <c r="CH325" s="165" t="s">
        <v>164</v>
      </c>
      <c r="CI325" s="165" t="s">
        <v>164</v>
      </c>
      <c r="CJ325" s="165" t="s">
        <v>164</v>
      </c>
      <c r="CK325" s="165" t="s">
        <v>164</v>
      </c>
      <c r="CL325" s="165" t="s">
        <v>164</v>
      </c>
      <c r="CM325" s="165" t="s">
        <v>585</v>
      </c>
      <c r="CN325" s="165" t="s">
        <v>164</v>
      </c>
      <c r="CO325" s="165" t="s">
        <v>164</v>
      </c>
      <c r="CP325" s="165" t="s">
        <v>164</v>
      </c>
      <c r="CQ325" s="165" t="s">
        <v>164</v>
      </c>
      <c r="CR325" s="165" t="s">
        <v>164</v>
      </c>
      <c r="CS325" s="165" t="s">
        <v>164</v>
      </c>
      <c r="CT325" s="165" t="s">
        <v>164</v>
      </c>
      <c r="CU325" s="165" t="s">
        <v>164</v>
      </c>
      <c r="CV325" s="165" t="s">
        <v>164</v>
      </c>
      <c r="CW325" s="169"/>
      <c r="CX325" s="170"/>
      <c r="CY325" s="170"/>
      <c r="CZ325" s="33"/>
      <c r="DA325" s="33" t="s">
        <v>164</v>
      </c>
      <c r="DB325" s="33" t="s">
        <v>164</v>
      </c>
      <c r="DC325" s="33" t="s">
        <v>164</v>
      </c>
      <c r="DD325" s="33" t="s">
        <v>164</v>
      </c>
      <c r="DE325" s="33" t="s">
        <v>164</v>
      </c>
      <c r="DF325" s="33" t="s">
        <v>164</v>
      </c>
      <c r="DG325" s="33" t="s">
        <v>164</v>
      </c>
      <c r="DH325" s="33" t="s">
        <v>164</v>
      </c>
      <c r="DI325" s="33" t="s">
        <v>164</v>
      </c>
      <c r="DJ325" s="134"/>
      <c r="DK325" s="63"/>
      <c r="DL325" s="63"/>
      <c r="DM325" s="63"/>
      <c r="DN325" s="63"/>
      <c r="DO325" s="63"/>
      <c r="DP325" s="63"/>
      <c r="DQ325" s="63"/>
      <c r="DR325" s="63"/>
      <c r="DS325" s="63"/>
      <c r="DT325" s="63"/>
      <c r="DU325" s="63"/>
      <c r="DV325" s="63"/>
      <c r="DW325" s="63"/>
      <c r="DX325" s="63"/>
      <c r="DY325" s="63"/>
      <c r="DZ325" s="63"/>
      <c r="EA325" s="63"/>
      <c r="EB325" s="63"/>
      <c r="EC325" s="63"/>
      <c r="ED325" s="63"/>
      <c r="EE325" s="63"/>
      <c r="EF325" s="63"/>
      <c r="EG325" s="63"/>
      <c r="EH325" s="63"/>
      <c r="EI325" s="63"/>
      <c r="EJ325" s="63"/>
      <c r="EK325" s="63"/>
      <c r="EL325" s="63"/>
      <c r="EM325" s="63"/>
      <c r="EN325" s="63"/>
      <c r="EO325" s="63"/>
      <c r="EP325" s="63"/>
      <c r="EQ325" s="63"/>
      <c r="ER325" s="63"/>
      <c r="ES325" s="63"/>
      <c r="ET325" s="63"/>
      <c r="EU325" s="63"/>
      <c r="EV325" s="63"/>
      <c r="EW325" s="63"/>
      <c r="EX325" s="63"/>
      <c r="EY325" s="63"/>
      <c r="EZ325" s="33"/>
      <c r="FA325" s="33"/>
      <c r="FB325" s="33"/>
      <c r="FC325" s="33"/>
      <c r="FD325" s="33"/>
      <c r="FE325" s="33"/>
      <c r="FF325" s="33"/>
      <c r="FG325" s="33"/>
      <c r="FH325" s="33"/>
      <c r="FI325" s="33"/>
      <c r="FJ325" s="33"/>
      <c r="FK325" s="33"/>
      <c r="FL325" s="33"/>
      <c r="FM325" s="33"/>
      <c r="FN325" s="33"/>
      <c r="FO325" s="33"/>
      <c r="FP325" s="33"/>
      <c r="FQ325" s="33"/>
      <c r="FR325" s="33"/>
      <c r="FS325" s="33"/>
      <c r="FT325" s="33"/>
      <c r="FU325" s="33"/>
      <c r="FV325" s="33"/>
      <c r="FW325" s="33"/>
      <c r="FX325" s="33"/>
      <c r="FY325" s="33"/>
      <c r="FZ325" s="33"/>
      <c r="GA325" s="33"/>
    </row>
    <row r="326" ht="15.75" customHeight="1">
      <c r="A326" s="20"/>
      <c r="B326" s="20"/>
      <c r="C326" s="165"/>
      <c r="D326" s="165"/>
      <c r="E326" s="165"/>
      <c r="F326" s="165"/>
      <c r="G326" s="165"/>
      <c r="H326" s="165"/>
      <c r="I326" s="165"/>
      <c r="J326" s="165" t="s">
        <v>601</v>
      </c>
      <c r="K326" s="87" t="s">
        <v>225</v>
      </c>
      <c r="L326" s="87"/>
      <c r="M326" s="87"/>
      <c r="N326" s="87" t="s">
        <v>225</v>
      </c>
      <c r="O326" s="180" t="s">
        <v>602</v>
      </c>
      <c r="P326" s="35"/>
      <c r="Q326" s="24" t="str">
        <f t="shared" si="24"/>
        <v>very fine-grained, banded, white/whitish  marble</v>
      </c>
      <c r="R326" s="35" t="s">
        <v>188</v>
      </c>
      <c r="S326" s="35" t="s">
        <v>603</v>
      </c>
      <c r="T326" s="35" t="s">
        <v>182</v>
      </c>
      <c r="U326" s="35" t="s">
        <v>244</v>
      </c>
      <c r="V326" s="165" t="s">
        <v>164</v>
      </c>
      <c r="W326" s="76" t="s">
        <v>190</v>
      </c>
      <c r="X326" s="165" t="s">
        <v>164</v>
      </c>
      <c r="Y326" s="165" t="s">
        <v>164</v>
      </c>
      <c r="Z326" s="165" t="s">
        <v>164</v>
      </c>
      <c r="AA326" s="165"/>
      <c r="AB326" s="165"/>
      <c r="AC326" s="165" t="s">
        <v>164</v>
      </c>
      <c r="AD326" s="165" t="s">
        <v>164</v>
      </c>
      <c r="AE326" s="171"/>
      <c r="AF326" s="165" t="s">
        <v>164</v>
      </c>
      <c r="AG326" s="165" t="s">
        <v>164</v>
      </c>
      <c r="AH326" s="165" t="s">
        <v>164</v>
      </c>
      <c r="AI326" s="165" t="s">
        <v>164</v>
      </c>
      <c r="AJ326" s="165" t="s">
        <v>164</v>
      </c>
      <c r="AK326" s="165" t="s">
        <v>164</v>
      </c>
      <c r="AL326" s="165" t="s">
        <v>164</v>
      </c>
      <c r="AM326" s="178"/>
      <c r="AN326" s="178"/>
      <c r="AO326" s="28">
        <f t="shared" si="25"/>
        <v>0</v>
      </c>
      <c r="AP326" s="178" t="s">
        <v>164</v>
      </c>
      <c r="AQ326" s="178"/>
      <c r="AR326" s="178" t="s">
        <v>164</v>
      </c>
      <c r="AS326" s="178"/>
      <c r="AT326" s="178" t="s">
        <v>164</v>
      </c>
      <c r="AU326" s="178"/>
      <c r="AV326" s="178"/>
      <c r="AW326" s="178"/>
      <c r="AX326" s="178"/>
      <c r="AY326" s="178"/>
      <c r="AZ326" s="178"/>
      <c r="BA326" s="178"/>
      <c r="BB326" s="178"/>
      <c r="BC326" s="178"/>
      <c r="BD326" s="178"/>
      <c r="BE326" s="183" t="s">
        <v>604</v>
      </c>
      <c r="BF326" s="184" t="s">
        <v>605</v>
      </c>
      <c r="BG326" s="184" t="s">
        <v>606</v>
      </c>
      <c r="BH326" s="184" t="s">
        <v>607</v>
      </c>
      <c r="BI326" s="179"/>
      <c r="BJ326" s="179" t="s">
        <v>164</v>
      </c>
      <c r="BK326" s="179" t="s">
        <v>164</v>
      </c>
      <c r="BL326" s="179" t="s">
        <v>164</v>
      </c>
      <c r="BM326" s="179" t="s">
        <v>164</v>
      </c>
      <c r="BN326" s="179" t="s">
        <v>164</v>
      </c>
      <c r="BO326" s="179" t="s">
        <v>164</v>
      </c>
      <c r="BP326" s="179" t="s">
        <v>164</v>
      </c>
      <c r="BQ326" s="179" t="s">
        <v>164</v>
      </c>
      <c r="BR326" s="179" t="s">
        <v>164</v>
      </c>
      <c r="BS326" s="179" t="s">
        <v>164</v>
      </c>
      <c r="BT326" s="179" t="s">
        <v>164</v>
      </c>
      <c r="BU326" s="179" t="s">
        <v>164</v>
      </c>
      <c r="BV326" s="179"/>
      <c r="BW326" s="179"/>
      <c r="BX326" s="179" t="s">
        <v>164</v>
      </c>
      <c r="BY326" s="179" t="s">
        <v>164</v>
      </c>
      <c r="BZ326" s="179" t="s">
        <v>164</v>
      </c>
      <c r="CA326" s="179" t="s">
        <v>164</v>
      </c>
      <c r="CB326" s="179" t="s">
        <v>164</v>
      </c>
      <c r="CC326" s="179" t="s">
        <v>164</v>
      </c>
      <c r="CD326" s="179" t="s">
        <v>164</v>
      </c>
      <c r="CE326" s="165" t="s">
        <v>164</v>
      </c>
      <c r="CF326" s="165" t="s">
        <v>164</v>
      </c>
      <c r="CG326" s="165" t="s">
        <v>164</v>
      </c>
      <c r="CH326" s="165" t="s">
        <v>164</v>
      </c>
      <c r="CI326" s="165" t="s">
        <v>164</v>
      </c>
      <c r="CJ326" s="165" t="s">
        <v>164</v>
      </c>
      <c r="CK326" s="165" t="s">
        <v>164</v>
      </c>
      <c r="CL326" s="165" t="s">
        <v>164</v>
      </c>
      <c r="CM326" s="165" t="s">
        <v>164</v>
      </c>
      <c r="CN326" s="165" t="s">
        <v>164</v>
      </c>
      <c r="CO326" s="165" t="s">
        <v>164</v>
      </c>
      <c r="CP326" s="165" t="s">
        <v>164</v>
      </c>
      <c r="CQ326" s="165" t="s">
        <v>164</v>
      </c>
      <c r="CR326" s="165" t="s">
        <v>164</v>
      </c>
      <c r="CS326" s="165" t="s">
        <v>164</v>
      </c>
      <c r="CT326" s="165" t="s">
        <v>164</v>
      </c>
      <c r="CU326" s="165" t="s">
        <v>164</v>
      </c>
      <c r="CV326" s="165" t="s">
        <v>164</v>
      </c>
      <c r="CW326" s="169"/>
      <c r="CX326" s="54"/>
      <c r="CY326" s="54"/>
      <c r="CZ326" s="33"/>
      <c r="DA326" s="33" t="s">
        <v>164</v>
      </c>
      <c r="DB326" s="33" t="s">
        <v>164</v>
      </c>
      <c r="DC326" s="33" t="s">
        <v>164</v>
      </c>
      <c r="DD326" s="33" t="s">
        <v>164</v>
      </c>
      <c r="DE326" s="33" t="s">
        <v>164</v>
      </c>
      <c r="DF326" s="33" t="s">
        <v>164</v>
      </c>
      <c r="DG326" s="33" t="s">
        <v>164</v>
      </c>
      <c r="DH326" s="33" t="s">
        <v>164</v>
      </c>
      <c r="DI326" s="33" t="s">
        <v>164</v>
      </c>
      <c r="DJ326" s="134"/>
      <c r="DK326" s="63"/>
      <c r="DL326" s="63"/>
      <c r="DM326" s="63"/>
      <c r="DN326" s="63"/>
      <c r="DO326" s="63"/>
      <c r="DP326" s="63"/>
      <c r="DQ326" s="63"/>
      <c r="DR326" s="63"/>
      <c r="DS326" s="63"/>
      <c r="DT326" s="63"/>
      <c r="DU326" s="63"/>
      <c r="DV326" s="63"/>
      <c r="DW326" s="63"/>
      <c r="DX326" s="63"/>
      <c r="DY326" s="63"/>
      <c r="DZ326" s="63"/>
      <c r="EA326" s="63"/>
      <c r="EB326" s="63"/>
      <c r="EC326" s="63"/>
      <c r="ED326" s="63"/>
      <c r="EE326" s="63"/>
      <c r="EF326" s="63"/>
      <c r="EG326" s="63"/>
      <c r="EH326" s="63"/>
      <c r="EI326" s="63"/>
      <c r="EJ326" s="63"/>
      <c r="EK326" s="63"/>
      <c r="EL326" s="63"/>
      <c r="EM326" s="63"/>
      <c r="EN326" s="63"/>
      <c r="EO326" s="63"/>
      <c r="EP326" s="63"/>
      <c r="EQ326" s="63"/>
      <c r="ER326" s="63"/>
      <c r="ES326" s="63"/>
      <c r="ET326" s="63"/>
      <c r="EU326" s="63"/>
      <c r="EV326" s="63"/>
      <c r="EW326" s="63"/>
      <c r="EX326" s="63"/>
      <c r="EY326" s="63"/>
      <c r="EZ326" s="33"/>
      <c r="FA326" s="33"/>
      <c r="FB326" s="33"/>
      <c r="FC326" s="33"/>
      <c r="FD326" s="33"/>
      <c r="FE326" s="33"/>
      <c r="FF326" s="33"/>
      <c r="FG326" s="33"/>
      <c r="FH326" s="33"/>
      <c r="FI326" s="33"/>
      <c r="FJ326" s="33"/>
      <c r="FK326" s="33"/>
      <c r="FL326" s="33"/>
      <c r="FM326" s="33"/>
      <c r="FN326" s="33"/>
      <c r="FO326" s="33"/>
      <c r="FP326" s="33"/>
      <c r="FQ326" s="33"/>
      <c r="FR326" s="33"/>
      <c r="FS326" s="33"/>
      <c r="FT326" s="33"/>
      <c r="FU326" s="33"/>
      <c r="FV326" s="33"/>
      <c r="FW326" s="33"/>
      <c r="FX326" s="33"/>
      <c r="FY326" s="33"/>
      <c r="FZ326" s="33"/>
      <c r="GA326" s="33"/>
    </row>
    <row r="327" ht="15.75" customHeight="1">
      <c r="A327" s="44"/>
      <c r="B327" s="24"/>
      <c r="C327" s="35"/>
      <c r="D327" s="35"/>
      <c r="E327" s="35"/>
      <c r="F327" s="35"/>
      <c r="G327" s="35"/>
      <c r="H327" s="35"/>
      <c r="I327" s="35"/>
      <c r="J327" s="35" t="s">
        <v>608</v>
      </c>
      <c r="K327" s="87" t="s">
        <v>201</v>
      </c>
      <c r="L327" s="87"/>
      <c r="M327" s="87"/>
      <c r="N327" s="87" t="s">
        <v>201</v>
      </c>
      <c r="O327" s="177" t="s">
        <v>609</v>
      </c>
      <c r="P327" s="35"/>
      <c r="Q327" s="24" t="str">
        <f t="shared" si="24"/>
        <v>medium to coarse-grained, homogeneous, white or whitish marble</v>
      </c>
      <c r="R327" s="35" t="s">
        <v>610</v>
      </c>
      <c r="S327" s="35" t="s">
        <v>611</v>
      </c>
      <c r="T327" s="35" t="s">
        <v>194</v>
      </c>
      <c r="U327" s="165" t="s">
        <v>164</v>
      </c>
      <c r="V327" s="165" t="s">
        <v>164</v>
      </c>
      <c r="W327" s="76" t="s">
        <v>190</v>
      </c>
      <c r="X327" s="35" t="s">
        <v>164</v>
      </c>
      <c r="Y327" s="35" t="s">
        <v>164</v>
      </c>
      <c r="Z327" s="35" t="s">
        <v>164</v>
      </c>
      <c r="AA327" s="35"/>
      <c r="AB327" s="35"/>
      <c r="AC327" s="35"/>
      <c r="AD327" s="165" t="s">
        <v>164</v>
      </c>
      <c r="AE327" s="171"/>
      <c r="AF327" s="165" t="s">
        <v>164</v>
      </c>
      <c r="AG327" s="165" t="s">
        <v>164</v>
      </c>
      <c r="AH327" s="165" t="s">
        <v>164</v>
      </c>
      <c r="AI327" s="165" t="s">
        <v>164</v>
      </c>
      <c r="AJ327" s="165" t="s">
        <v>164</v>
      </c>
      <c r="AK327" s="165" t="s">
        <v>164</v>
      </c>
      <c r="AL327" s="165" t="s">
        <v>164</v>
      </c>
      <c r="AM327" s="181"/>
      <c r="AN327" s="181"/>
      <c r="AO327" s="28">
        <f t="shared" si="25"/>
        <v>0</v>
      </c>
      <c r="AP327" s="181" t="s">
        <v>164</v>
      </c>
      <c r="AQ327" s="178"/>
      <c r="AR327" s="178" t="s">
        <v>164</v>
      </c>
      <c r="AS327" s="178"/>
      <c r="AT327" s="178"/>
      <c r="AU327" s="178"/>
      <c r="AV327" s="178"/>
      <c r="AW327" s="178"/>
      <c r="AX327" s="178"/>
      <c r="AY327" s="178"/>
      <c r="AZ327" s="178"/>
      <c r="BA327" s="178"/>
      <c r="BB327" s="178"/>
      <c r="BC327" s="178"/>
      <c r="BD327" s="178"/>
      <c r="BE327" s="165" t="s">
        <v>164</v>
      </c>
      <c r="BF327" s="165" t="s">
        <v>164</v>
      </c>
      <c r="BG327" s="165" t="s">
        <v>164</v>
      </c>
      <c r="BH327" s="165" t="s">
        <v>164</v>
      </c>
      <c r="BI327" s="179"/>
      <c r="BJ327" s="179" t="s">
        <v>164</v>
      </c>
      <c r="BK327" s="179"/>
      <c r="BL327" s="179" t="s">
        <v>164</v>
      </c>
      <c r="BM327" s="179"/>
      <c r="BN327" s="179" t="s">
        <v>164</v>
      </c>
      <c r="BO327" s="179"/>
      <c r="BP327" s="179"/>
      <c r="BQ327" s="179"/>
      <c r="BR327" s="179" t="s">
        <v>164</v>
      </c>
      <c r="BS327" s="179"/>
      <c r="BT327" s="179" t="s">
        <v>164</v>
      </c>
      <c r="BU327" s="179"/>
      <c r="BV327" s="179"/>
      <c r="BW327" s="179"/>
      <c r="BX327" s="179" t="s">
        <v>164</v>
      </c>
      <c r="BY327" s="179"/>
      <c r="BZ327" s="179" t="s">
        <v>164</v>
      </c>
      <c r="CA327" s="179"/>
      <c r="CB327" s="179" t="s">
        <v>164</v>
      </c>
      <c r="CC327" s="179"/>
      <c r="CD327" s="179" t="s">
        <v>164</v>
      </c>
      <c r="CE327" s="165" t="s">
        <v>164</v>
      </c>
      <c r="CF327" s="165" t="s">
        <v>164</v>
      </c>
      <c r="CG327" s="165" t="s">
        <v>164</v>
      </c>
      <c r="CH327" s="165" t="s">
        <v>164</v>
      </c>
      <c r="CI327" s="165" t="s">
        <v>164</v>
      </c>
      <c r="CJ327" s="165" t="s">
        <v>164</v>
      </c>
      <c r="CK327" s="165" t="s">
        <v>164</v>
      </c>
      <c r="CL327" s="165" t="s">
        <v>164</v>
      </c>
      <c r="CM327" s="165" t="s">
        <v>164</v>
      </c>
      <c r="CN327" s="165" t="s">
        <v>164</v>
      </c>
      <c r="CO327" s="165" t="s">
        <v>164</v>
      </c>
      <c r="CP327" s="165" t="s">
        <v>164</v>
      </c>
      <c r="CQ327" s="165" t="s">
        <v>164</v>
      </c>
      <c r="CR327" s="165" t="s">
        <v>164</v>
      </c>
      <c r="CS327" s="165" t="s">
        <v>164</v>
      </c>
      <c r="CT327" s="165" t="s">
        <v>164</v>
      </c>
      <c r="CU327" s="165" t="s">
        <v>164</v>
      </c>
      <c r="CV327" s="165" t="s">
        <v>164</v>
      </c>
      <c r="CW327" s="169"/>
      <c r="CX327" s="170"/>
      <c r="CY327" s="170"/>
      <c r="CZ327" s="33"/>
      <c r="DA327" s="33" t="s">
        <v>164</v>
      </c>
      <c r="DB327" s="33" t="s">
        <v>164</v>
      </c>
      <c r="DC327" s="33" t="s">
        <v>164</v>
      </c>
      <c r="DD327" s="33" t="s">
        <v>164</v>
      </c>
      <c r="DE327" s="33" t="s">
        <v>164</v>
      </c>
      <c r="DF327" s="33" t="s">
        <v>164</v>
      </c>
      <c r="DG327" s="33" t="s">
        <v>164</v>
      </c>
      <c r="DH327" s="33" t="s">
        <v>164</v>
      </c>
      <c r="DI327" s="33" t="s">
        <v>164</v>
      </c>
      <c r="FA327" s="33"/>
      <c r="FB327" s="33"/>
      <c r="FC327" s="33"/>
      <c r="FD327" s="33"/>
      <c r="FE327" s="33"/>
      <c r="FF327" s="33"/>
      <c r="FG327" s="33"/>
      <c r="FH327" s="33"/>
      <c r="FI327" s="33"/>
      <c r="FJ327" s="33"/>
      <c r="FK327" s="33"/>
      <c r="FL327" s="33"/>
      <c r="FM327" s="33"/>
      <c r="FN327" s="33"/>
      <c r="FO327" s="33"/>
      <c r="FP327" s="33"/>
      <c r="FQ327" s="33"/>
      <c r="FR327" s="33"/>
      <c r="FS327" s="33"/>
      <c r="FT327" s="33"/>
      <c r="FU327" s="33"/>
      <c r="FV327" s="33"/>
      <c r="FW327" s="33"/>
      <c r="FX327" s="33"/>
      <c r="FY327" s="33"/>
      <c r="FZ327" s="33"/>
      <c r="GA327" s="33"/>
    </row>
    <row r="328" ht="15.75" customHeight="1">
      <c r="A328" s="44"/>
      <c r="B328" s="24"/>
      <c r="C328" s="35"/>
      <c r="D328" s="35"/>
      <c r="E328" s="35"/>
      <c r="F328" s="35"/>
      <c r="G328" s="35"/>
      <c r="H328" s="35"/>
      <c r="I328" s="35"/>
      <c r="J328" s="35" t="s">
        <v>608</v>
      </c>
      <c r="K328" s="87" t="s">
        <v>201</v>
      </c>
      <c r="L328" s="87"/>
      <c r="M328" s="87"/>
      <c r="N328" s="87" t="s">
        <v>201</v>
      </c>
      <c r="O328" s="177" t="s">
        <v>609</v>
      </c>
      <c r="P328" s="35"/>
      <c r="Q328" s="24" t="str">
        <f t="shared" si="24"/>
        <v>medium to coarse-grained, homogeneous, greyish or bluish marble</v>
      </c>
      <c r="R328" s="35" t="s">
        <v>610</v>
      </c>
      <c r="S328" s="35" t="s">
        <v>612</v>
      </c>
      <c r="T328" s="35" t="s">
        <v>194</v>
      </c>
      <c r="U328" s="165" t="s">
        <v>164</v>
      </c>
      <c r="V328" s="165" t="s">
        <v>164</v>
      </c>
      <c r="W328" s="76" t="s">
        <v>190</v>
      </c>
      <c r="X328" s="35" t="s">
        <v>164</v>
      </c>
      <c r="Y328" s="35" t="s">
        <v>164</v>
      </c>
      <c r="Z328" s="35" t="s">
        <v>164</v>
      </c>
      <c r="AA328" s="35"/>
      <c r="AB328" s="35"/>
      <c r="AC328" s="35"/>
      <c r="AD328" s="165" t="s">
        <v>164</v>
      </c>
      <c r="AE328" s="171"/>
      <c r="AF328" s="165" t="s">
        <v>164</v>
      </c>
      <c r="AG328" s="165" t="s">
        <v>164</v>
      </c>
      <c r="AH328" s="165" t="s">
        <v>164</v>
      </c>
      <c r="AI328" s="165" t="s">
        <v>164</v>
      </c>
      <c r="AJ328" s="165" t="s">
        <v>164</v>
      </c>
      <c r="AK328" s="165" t="s">
        <v>164</v>
      </c>
      <c r="AL328" s="165" t="s">
        <v>164</v>
      </c>
      <c r="AM328" s="181"/>
      <c r="AN328" s="181"/>
      <c r="AO328" s="28">
        <f t="shared" si="25"/>
        <v>0</v>
      </c>
      <c r="AP328" s="181" t="s">
        <v>164</v>
      </c>
      <c r="AQ328" s="178"/>
      <c r="AR328" s="178" t="s">
        <v>164</v>
      </c>
      <c r="AS328" s="178"/>
      <c r="AT328" s="178"/>
      <c r="AU328" s="178"/>
      <c r="AV328" s="178"/>
      <c r="AW328" s="178"/>
      <c r="AX328" s="178"/>
      <c r="AY328" s="178"/>
      <c r="AZ328" s="178"/>
      <c r="BA328" s="178"/>
      <c r="BB328" s="178"/>
      <c r="BC328" s="178"/>
      <c r="BD328" s="178"/>
      <c r="BE328" s="165" t="s">
        <v>164</v>
      </c>
      <c r="BF328" s="165" t="s">
        <v>164</v>
      </c>
      <c r="BG328" s="165" t="s">
        <v>164</v>
      </c>
      <c r="BH328" s="165" t="s">
        <v>164</v>
      </c>
      <c r="BI328" s="179"/>
      <c r="BJ328" s="179" t="s">
        <v>164</v>
      </c>
      <c r="BK328" s="179"/>
      <c r="BL328" s="179" t="s">
        <v>164</v>
      </c>
      <c r="BM328" s="179"/>
      <c r="BN328" s="179" t="s">
        <v>164</v>
      </c>
      <c r="BO328" s="179"/>
      <c r="BP328" s="179"/>
      <c r="BQ328" s="179"/>
      <c r="BR328" s="179" t="s">
        <v>164</v>
      </c>
      <c r="BS328" s="179"/>
      <c r="BT328" s="179" t="s">
        <v>164</v>
      </c>
      <c r="BU328" s="179"/>
      <c r="BV328" s="179"/>
      <c r="BW328" s="179"/>
      <c r="BX328" s="179" t="s">
        <v>164</v>
      </c>
      <c r="BY328" s="179"/>
      <c r="BZ328" s="179" t="s">
        <v>164</v>
      </c>
      <c r="CA328" s="179"/>
      <c r="CB328" s="179" t="s">
        <v>164</v>
      </c>
      <c r="CC328" s="179"/>
      <c r="CD328" s="179" t="s">
        <v>164</v>
      </c>
      <c r="CE328" s="165" t="s">
        <v>164</v>
      </c>
      <c r="CF328" s="165" t="s">
        <v>164</v>
      </c>
      <c r="CG328" s="165" t="s">
        <v>164</v>
      </c>
      <c r="CH328" s="165" t="s">
        <v>164</v>
      </c>
      <c r="CI328" s="165" t="s">
        <v>164</v>
      </c>
      <c r="CJ328" s="165" t="s">
        <v>164</v>
      </c>
      <c r="CK328" s="165" t="s">
        <v>164</v>
      </c>
      <c r="CL328" s="165" t="s">
        <v>164</v>
      </c>
      <c r="CM328" s="165" t="s">
        <v>164</v>
      </c>
      <c r="CN328" s="165" t="s">
        <v>164</v>
      </c>
      <c r="CO328" s="165" t="s">
        <v>164</v>
      </c>
      <c r="CP328" s="165" t="s">
        <v>164</v>
      </c>
      <c r="CQ328" s="165" t="s">
        <v>164</v>
      </c>
      <c r="CR328" s="165" t="s">
        <v>164</v>
      </c>
      <c r="CS328" s="165" t="s">
        <v>164</v>
      </c>
      <c r="CT328" s="165" t="s">
        <v>164</v>
      </c>
      <c r="CU328" s="165" t="s">
        <v>164</v>
      </c>
      <c r="CV328" s="165" t="s">
        <v>164</v>
      </c>
      <c r="CW328" s="169"/>
      <c r="CX328" s="170"/>
      <c r="CY328" s="170"/>
      <c r="CZ328" s="33"/>
      <c r="DA328" s="33" t="s">
        <v>164</v>
      </c>
      <c r="DB328" s="33" t="s">
        <v>164</v>
      </c>
      <c r="DC328" s="33" t="s">
        <v>164</v>
      </c>
      <c r="DD328" s="33" t="s">
        <v>164</v>
      </c>
      <c r="DE328" s="33" t="s">
        <v>164</v>
      </c>
      <c r="DF328" s="33" t="s">
        <v>164</v>
      </c>
      <c r="DG328" s="33" t="s">
        <v>164</v>
      </c>
      <c r="DH328" s="33" t="s">
        <v>164</v>
      </c>
      <c r="DI328" s="33" t="s">
        <v>164</v>
      </c>
      <c r="FA328" s="33"/>
      <c r="FB328" s="33"/>
      <c r="FC328" s="33"/>
      <c r="FD328" s="33"/>
      <c r="FE328" s="33"/>
      <c r="FF328" s="33"/>
      <c r="FG328" s="33"/>
      <c r="FH328" s="33"/>
      <c r="FI328" s="33"/>
      <c r="FJ328" s="33"/>
      <c r="FK328" s="33"/>
      <c r="FL328" s="33"/>
      <c r="FM328" s="33"/>
      <c r="FN328" s="33"/>
      <c r="FO328" s="33"/>
      <c r="FP328" s="33"/>
      <c r="FQ328" s="33"/>
      <c r="FR328" s="33"/>
      <c r="FS328" s="33"/>
      <c r="FT328" s="33"/>
      <c r="FU328" s="33"/>
      <c r="FV328" s="33"/>
      <c r="FW328" s="33"/>
      <c r="FX328" s="33"/>
      <c r="FY328" s="33"/>
      <c r="FZ328" s="33"/>
      <c r="GA328" s="33"/>
    </row>
    <row r="329" ht="15.75" customHeight="1">
      <c r="A329" s="20"/>
      <c r="B329" s="20"/>
      <c r="C329" s="165"/>
      <c r="D329" s="165"/>
      <c r="E329" s="165"/>
      <c r="F329" s="165"/>
      <c r="G329" s="165"/>
      <c r="H329" s="165"/>
      <c r="I329" s="165"/>
      <c r="J329" s="165" t="s">
        <v>581</v>
      </c>
      <c r="K329" s="87" t="s">
        <v>613</v>
      </c>
      <c r="L329" s="87"/>
      <c r="M329" s="87"/>
      <c r="N329" s="87" t="s">
        <v>613</v>
      </c>
      <c r="O329" s="180" t="s">
        <v>614</v>
      </c>
      <c r="P329" s="35"/>
      <c r="Q329" s="24" t="str">
        <f t="shared" si="24"/>
        <v>medium-grained, homogeneous,  marble</v>
      </c>
      <c r="R329" s="35" t="s">
        <v>205</v>
      </c>
      <c r="S329" s="35" t="s">
        <v>164</v>
      </c>
      <c r="T329" s="35" t="s">
        <v>194</v>
      </c>
      <c r="U329" s="165" t="s">
        <v>164</v>
      </c>
      <c r="V329" s="165" t="s">
        <v>164</v>
      </c>
      <c r="W329" s="76" t="s">
        <v>190</v>
      </c>
      <c r="X329" s="35" t="s">
        <v>164</v>
      </c>
      <c r="Y329" s="35" t="s">
        <v>164</v>
      </c>
      <c r="Z329" s="35" t="s">
        <v>164</v>
      </c>
      <c r="AA329" s="165"/>
      <c r="AB329" s="165"/>
      <c r="AC329" s="86" t="s">
        <v>166</v>
      </c>
      <c r="AD329" s="56" t="s">
        <v>183</v>
      </c>
      <c r="AE329" s="171"/>
      <c r="AF329" s="165" t="s">
        <v>164</v>
      </c>
      <c r="AG329" s="165" t="s">
        <v>166</v>
      </c>
      <c r="AH329" s="165" t="s">
        <v>164</v>
      </c>
      <c r="AI329" s="165" t="s">
        <v>590</v>
      </c>
      <c r="AJ329" s="165" t="s">
        <v>164</v>
      </c>
      <c r="AK329" s="165" t="s">
        <v>164</v>
      </c>
      <c r="AL329" s="165" t="s">
        <v>590</v>
      </c>
      <c r="AM329" s="178"/>
      <c r="AN329" s="178"/>
      <c r="AO329" s="28">
        <f t="shared" si="25"/>
        <v>0</v>
      </c>
      <c r="AP329" s="178" t="s">
        <v>164</v>
      </c>
      <c r="AQ329" s="178"/>
      <c r="AR329" s="178" t="s">
        <v>164</v>
      </c>
      <c r="AS329" s="178"/>
      <c r="AT329" s="178" t="s">
        <v>164</v>
      </c>
      <c r="AU329" s="178"/>
      <c r="AV329" s="178"/>
      <c r="AW329" s="178"/>
      <c r="AX329" s="178"/>
      <c r="AY329" s="178"/>
      <c r="AZ329" s="178"/>
      <c r="BA329" s="178"/>
      <c r="BB329" s="178"/>
      <c r="BC329" s="178"/>
      <c r="BD329" s="178"/>
      <c r="BE329" s="165" t="s">
        <v>164</v>
      </c>
      <c r="BF329" s="165" t="s">
        <v>164</v>
      </c>
      <c r="BG329" s="165" t="s">
        <v>164</v>
      </c>
      <c r="BH329" s="165" t="s">
        <v>164</v>
      </c>
      <c r="BI329" s="179"/>
      <c r="BJ329" s="179" t="s">
        <v>164</v>
      </c>
      <c r="BK329" s="179"/>
      <c r="BL329" s="179" t="s">
        <v>164</v>
      </c>
      <c r="BM329" s="179"/>
      <c r="BN329" s="179" t="s">
        <v>164</v>
      </c>
      <c r="BO329" s="179"/>
      <c r="BP329" s="179"/>
      <c r="BQ329" s="179"/>
      <c r="BR329" s="179" t="s">
        <v>164</v>
      </c>
      <c r="BS329" s="179"/>
      <c r="BT329" s="179" t="s">
        <v>164</v>
      </c>
      <c r="BU329" s="179"/>
      <c r="BV329" s="179"/>
      <c r="BW329" s="179"/>
      <c r="BX329" s="179" t="s">
        <v>164</v>
      </c>
      <c r="BY329" s="179"/>
      <c r="BZ329" s="179" t="s">
        <v>164</v>
      </c>
      <c r="CA329" s="179"/>
      <c r="CB329" s="179" t="s">
        <v>164</v>
      </c>
      <c r="CC329" s="179"/>
      <c r="CD329" s="179" t="s">
        <v>164</v>
      </c>
      <c r="CE329" s="165" t="s">
        <v>164</v>
      </c>
      <c r="CF329" s="165" t="s">
        <v>585</v>
      </c>
      <c r="CG329" s="165" t="s">
        <v>164</v>
      </c>
      <c r="CH329" s="165" t="s">
        <v>164</v>
      </c>
      <c r="CI329" s="165" t="s">
        <v>164</v>
      </c>
      <c r="CJ329" s="165" t="s">
        <v>164</v>
      </c>
      <c r="CK329" s="165" t="s">
        <v>164</v>
      </c>
      <c r="CL329" s="165" t="s">
        <v>164</v>
      </c>
      <c r="CM329" s="165" t="s">
        <v>164</v>
      </c>
      <c r="CN329" s="165" t="s">
        <v>164</v>
      </c>
      <c r="CO329" s="165" t="s">
        <v>164</v>
      </c>
      <c r="CP329" s="165" t="s">
        <v>164</v>
      </c>
      <c r="CQ329" s="165" t="s">
        <v>164</v>
      </c>
      <c r="CR329" s="165" t="s">
        <v>585</v>
      </c>
      <c r="CS329" s="165" t="s">
        <v>164</v>
      </c>
      <c r="CT329" s="165" t="s">
        <v>164</v>
      </c>
      <c r="CU329" s="165" t="s">
        <v>164</v>
      </c>
      <c r="CV329" s="165" t="s">
        <v>164</v>
      </c>
      <c r="CW329" s="169"/>
      <c r="CX329" s="170"/>
      <c r="CY329" s="170"/>
      <c r="CZ329" s="33"/>
      <c r="DA329" s="33" t="s">
        <v>164</v>
      </c>
      <c r="DB329" s="33" t="s">
        <v>164</v>
      </c>
      <c r="DC329" s="33" t="s">
        <v>164</v>
      </c>
      <c r="DD329" s="33" t="s">
        <v>164</v>
      </c>
      <c r="DE329" s="33" t="s">
        <v>164</v>
      </c>
      <c r="DF329" s="33" t="s">
        <v>164</v>
      </c>
      <c r="DG329" s="33" t="s">
        <v>164</v>
      </c>
      <c r="DH329" s="33" t="s">
        <v>164</v>
      </c>
      <c r="DI329" s="33" t="s">
        <v>164</v>
      </c>
      <c r="DJ329" s="134"/>
      <c r="DK329" s="63"/>
      <c r="DL329" s="63"/>
      <c r="DM329" s="63"/>
      <c r="DN329" s="63"/>
      <c r="DO329" s="63"/>
      <c r="DP329" s="63"/>
      <c r="DQ329" s="63"/>
      <c r="DR329" s="63"/>
      <c r="DS329" s="63"/>
      <c r="DT329" s="63"/>
      <c r="DU329" s="63"/>
      <c r="DV329" s="63"/>
      <c r="DW329" s="63"/>
      <c r="DX329" s="63"/>
      <c r="DY329" s="63"/>
      <c r="DZ329" s="63"/>
      <c r="EA329" s="63"/>
      <c r="EB329" s="63"/>
      <c r="EC329" s="63"/>
      <c r="ED329" s="63"/>
      <c r="EE329" s="63"/>
      <c r="EF329" s="63"/>
      <c r="EG329" s="63"/>
      <c r="EH329" s="63"/>
      <c r="EI329" s="63"/>
      <c r="EJ329" s="63"/>
      <c r="EK329" s="63"/>
      <c r="EL329" s="63"/>
      <c r="EM329" s="63"/>
      <c r="EN329" s="63"/>
      <c r="EO329" s="63"/>
      <c r="EP329" s="63"/>
      <c r="EQ329" s="63"/>
      <c r="ER329" s="63"/>
      <c r="ES329" s="63"/>
      <c r="ET329" s="63"/>
      <c r="EU329" s="63"/>
      <c r="EV329" s="63"/>
      <c r="EW329" s="63"/>
      <c r="EX329" s="63"/>
      <c r="EY329" s="63"/>
      <c r="EZ329" s="33"/>
      <c r="FA329" s="33"/>
      <c r="FB329" s="33"/>
      <c r="FC329" s="33"/>
      <c r="FD329" s="33"/>
      <c r="FE329" s="33"/>
      <c r="FF329" s="33"/>
      <c r="FG329" s="33"/>
      <c r="FH329" s="33"/>
      <c r="FI329" s="33"/>
      <c r="FJ329" s="33"/>
      <c r="FK329" s="33"/>
      <c r="FL329" s="33"/>
      <c r="FM329" s="33"/>
      <c r="FN329" s="33"/>
      <c r="FO329" s="33"/>
      <c r="FP329" s="33"/>
      <c r="FQ329" s="33"/>
      <c r="FR329" s="33"/>
      <c r="FS329" s="33"/>
      <c r="FT329" s="33"/>
      <c r="FU329" s="33"/>
      <c r="FV329" s="33"/>
      <c r="FW329" s="33"/>
      <c r="FX329" s="33"/>
      <c r="FY329" s="33"/>
      <c r="FZ329" s="33"/>
      <c r="GA329" s="33"/>
    </row>
    <row r="330" ht="15.75" customHeight="1">
      <c r="A330" s="44"/>
      <c r="B330" s="24"/>
      <c r="C330" s="35"/>
      <c r="D330" s="35"/>
      <c r="E330" s="35"/>
      <c r="F330" s="35"/>
      <c r="G330" s="35"/>
      <c r="H330" s="35"/>
      <c r="I330" s="35"/>
      <c r="J330" s="35" t="s">
        <v>586</v>
      </c>
      <c r="K330" s="87" t="s">
        <v>613</v>
      </c>
      <c r="L330" s="87"/>
      <c r="M330" s="87"/>
      <c r="N330" s="87" t="s">
        <v>613</v>
      </c>
      <c r="O330" s="180" t="s">
        <v>614</v>
      </c>
      <c r="P330" s="35"/>
      <c r="Q330" s="24" t="str">
        <f t="shared" si="24"/>
        <v>-grained, homogeneous,  marble</v>
      </c>
      <c r="R330" s="35" t="s">
        <v>164</v>
      </c>
      <c r="S330" s="35" t="s">
        <v>164</v>
      </c>
      <c r="T330" s="35" t="s">
        <v>194</v>
      </c>
      <c r="U330" s="165" t="s">
        <v>164</v>
      </c>
      <c r="V330" s="165" t="s">
        <v>164</v>
      </c>
      <c r="W330" s="76" t="s">
        <v>190</v>
      </c>
      <c r="X330" s="35" t="s">
        <v>164</v>
      </c>
      <c r="Y330" s="35" t="s">
        <v>164</v>
      </c>
      <c r="Z330" s="35" t="s">
        <v>164</v>
      </c>
      <c r="AA330" s="165"/>
      <c r="AB330" s="165"/>
      <c r="AC330" s="163" t="s">
        <v>164</v>
      </c>
      <c r="AD330" s="165" t="s">
        <v>164</v>
      </c>
      <c r="AE330" s="171"/>
      <c r="AF330" s="165" t="s">
        <v>164</v>
      </c>
      <c r="AG330" s="165" t="s">
        <v>164</v>
      </c>
      <c r="AH330" s="165" t="s">
        <v>164</v>
      </c>
      <c r="AI330" s="165" t="s">
        <v>164</v>
      </c>
      <c r="AJ330" s="165" t="s">
        <v>164</v>
      </c>
      <c r="AK330" s="165" t="s">
        <v>164</v>
      </c>
      <c r="AL330" s="165" t="s">
        <v>164</v>
      </c>
      <c r="AM330" s="181"/>
      <c r="AN330" s="181"/>
      <c r="AO330" s="28">
        <f t="shared" si="25"/>
        <v>100</v>
      </c>
      <c r="AP330" s="181">
        <v>82.79</v>
      </c>
      <c r="AQ330" s="178"/>
      <c r="AR330" s="182">
        <v>17.21</v>
      </c>
      <c r="AS330" s="178"/>
      <c r="AT330" s="178" t="s">
        <v>164</v>
      </c>
      <c r="AU330" s="178"/>
      <c r="AV330" s="178"/>
      <c r="AW330" s="178"/>
      <c r="AX330" s="178"/>
      <c r="AY330" s="178"/>
      <c r="AZ330" s="178"/>
      <c r="BA330" s="178"/>
      <c r="BB330" s="178"/>
      <c r="BC330" s="178"/>
      <c r="BD330" s="178"/>
      <c r="BE330" s="165" t="s">
        <v>164</v>
      </c>
      <c r="BF330" s="165" t="s">
        <v>164</v>
      </c>
      <c r="BG330" s="165" t="s">
        <v>164</v>
      </c>
      <c r="BH330" s="165" t="s">
        <v>164</v>
      </c>
      <c r="BI330" s="179"/>
      <c r="BJ330" s="179" t="s">
        <v>164</v>
      </c>
      <c r="BK330" s="179"/>
      <c r="BL330" s="179" t="s">
        <v>164</v>
      </c>
      <c r="BM330" s="179"/>
      <c r="BN330" s="179" t="s">
        <v>164</v>
      </c>
      <c r="BO330" s="179"/>
      <c r="BP330" s="179"/>
      <c r="BQ330" s="179"/>
      <c r="BR330" s="179" t="s">
        <v>164</v>
      </c>
      <c r="BS330" s="179"/>
      <c r="BT330" s="179" t="s">
        <v>164</v>
      </c>
      <c r="BU330" s="179"/>
      <c r="BV330" s="179"/>
      <c r="BW330" s="179"/>
      <c r="BX330" s="179" t="s">
        <v>164</v>
      </c>
      <c r="BY330" s="179"/>
      <c r="BZ330" s="179" t="s">
        <v>164</v>
      </c>
      <c r="CA330" s="179"/>
      <c r="CB330" s="179" t="s">
        <v>164</v>
      </c>
      <c r="CC330" s="179"/>
      <c r="CD330" s="179" t="s">
        <v>164</v>
      </c>
      <c r="CE330" s="165" t="s">
        <v>588</v>
      </c>
      <c r="CF330" s="165" t="s">
        <v>164</v>
      </c>
      <c r="CG330" s="165" t="s">
        <v>164</v>
      </c>
      <c r="CH330" s="165" t="s">
        <v>164</v>
      </c>
      <c r="CI330" s="165" t="s">
        <v>164</v>
      </c>
      <c r="CJ330" s="165" t="s">
        <v>164</v>
      </c>
      <c r="CK330" s="165" t="s">
        <v>164</v>
      </c>
      <c r="CL330" s="165" t="s">
        <v>164</v>
      </c>
      <c r="CM330" s="165" t="s">
        <v>164</v>
      </c>
      <c r="CN330" s="165" t="s">
        <v>164</v>
      </c>
      <c r="CO330" s="165" t="s">
        <v>164</v>
      </c>
      <c r="CP330" s="165" t="s">
        <v>164</v>
      </c>
      <c r="CQ330" s="165" t="s">
        <v>164</v>
      </c>
      <c r="CR330" s="165" t="s">
        <v>164</v>
      </c>
      <c r="CS330" s="165" t="s">
        <v>164</v>
      </c>
      <c r="CT330" s="165" t="s">
        <v>164</v>
      </c>
      <c r="CU330" s="165" t="s">
        <v>164</v>
      </c>
      <c r="CV330" s="165" t="s">
        <v>164</v>
      </c>
      <c r="CW330" s="169"/>
      <c r="CX330" s="170"/>
      <c r="CY330" s="170"/>
      <c r="CZ330" s="33"/>
      <c r="DA330" s="33" t="s">
        <v>164</v>
      </c>
      <c r="DB330" s="33" t="s">
        <v>164</v>
      </c>
      <c r="DC330" s="33" t="s">
        <v>164</v>
      </c>
      <c r="DD330" s="33" t="s">
        <v>164</v>
      </c>
      <c r="DE330" s="33" t="s">
        <v>164</v>
      </c>
      <c r="DF330" s="33" t="s">
        <v>164</v>
      </c>
      <c r="DG330" s="33" t="s">
        <v>164</v>
      </c>
      <c r="DH330" s="33" t="s">
        <v>164</v>
      </c>
      <c r="DI330" s="33" t="s">
        <v>164</v>
      </c>
    </row>
    <row r="331" ht="15.75" customHeight="1">
      <c r="A331" s="44"/>
      <c r="B331" s="24"/>
      <c r="C331" s="35"/>
      <c r="D331" s="35"/>
      <c r="E331" s="35"/>
      <c r="F331" s="35"/>
      <c r="G331" s="35"/>
      <c r="H331" s="35"/>
      <c r="I331" s="35"/>
      <c r="J331" s="35" t="s">
        <v>586</v>
      </c>
      <c r="K331" s="87" t="s">
        <v>615</v>
      </c>
      <c r="L331" s="87"/>
      <c r="M331" s="87"/>
      <c r="N331" s="87" t="s">
        <v>615</v>
      </c>
      <c r="O331" s="21" t="s">
        <v>616</v>
      </c>
      <c r="P331" s="35"/>
      <c r="Q331" s="24" t="str">
        <f t="shared" si="24"/>
        <v>-grained, homogeneous,  marble</v>
      </c>
      <c r="R331" s="35" t="s">
        <v>164</v>
      </c>
      <c r="S331" s="35" t="s">
        <v>164</v>
      </c>
      <c r="T331" s="35" t="s">
        <v>194</v>
      </c>
      <c r="U331" s="165" t="s">
        <v>164</v>
      </c>
      <c r="V331" s="165" t="s">
        <v>164</v>
      </c>
      <c r="W331" s="76" t="s">
        <v>190</v>
      </c>
      <c r="X331" s="35" t="s">
        <v>164</v>
      </c>
      <c r="Y331" s="35" t="s">
        <v>164</v>
      </c>
      <c r="Z331" s="35" t="s">
        <v>164</v>
      </c>
      <c r="AA331" s="165"/>
      <c r="AB331" s="165"/>
      <c r="AC331" s="163" t="s">
        <v>164</v>
      </c>
      <c r="AD331" s="165" t="s">
        <v>164</v>
      </c>
      <c r="AE331" s="171"/>
      <c r="AF331" s="165" t="s">
        <v>164</v>
      </c>
      <c r="AG331" s="165" t="s">
        <v>164</v>
      </c>
      <c r="AH331" s="165" t="s">
        <v>164</v>
      </c>
      <c r="AI331" s="165" t="s">
        <v>164</v>
      </c>
      <c r="AJ331" s="165" t="s">
        <v>164</v>
      </c>
      <c r="AK331" s="165" t="s">
        <v>164</v>
      </c>
      <c r="AL331" s="165" t="s">
        <v>164</v>
      </c>
      <c r="AM331" s="181"/>
      <c r="AN331" s="181"/>
      <c r="AO331" s="28">
        <f t="shared" si="25"/>
        <v>100</v>
      </c>
      <c r="AP331" s="181">
        <v>69.33</v>
      </c>
      <c r="AQ331" s="178"/>
      <c r="AR331" s="182">
        <v>30.67</v>
      </c>
      <c r="AS331" s="178"/>
      <c r="AT331" s="178" t="s">
        <v>164</v>
      </c>
      <c r="AU331" s="178"/>
      <c r="AV331" s="178"/>
      <c r="AW331" s="178"/>
      <c r="AX331" s="178"/>
      <c r="AY331" s="178"/>
      <c r="AZ331" s="178"/>
      <c r="BA331" s="178"/>
      <c r="BB331" s="178"/>
      <c r="BC331" s="178"/>
      <c r="BD331" s="178"/>
      <c r="BE331" s="165" t="s">
        <v>164</v>
      </c>
      <c r="BF331" s="165" t="s">
        <v>164</v>
      </c>
      <c r="BG331" s="165" t="s">
        <v>164</v>
      </c>
      <c r="BH331" s="165" t="s">
        <v>164</v>
      </c>
      <c r="BI331" s="179"/>
      <c r="BJ331" s="179" t="s">
        <v>164</v>
      </c>
      <c r="BK331" s="179"/>
      <c r="BL331" s="179" t="s">
        <v>164</v>
      </c>
      <c r="BM331" s="179"/>
      <c r="BN331" s="179" t="s">
        <v>164</v>
      </c>
      <c r="BO331" s="179"/>
      <c r="BP331" s="179"/>
      <c r="BQ331" s="179"/>
      <c r="BR331" s="179" t="s">
        <v>164</v>
      </c>
      <c r="BS331" s="179"/>
      <c r="BT331" s="179" t="s">
        <v>164</v>
      </c>
      <c r="BU331" s="179"/>
      <c r="BV331" s="179"/>
      <c r="BW331" s="179"/>
      <c r="BX331" s="179" t="s">
        <v>164</v>
      </c>
      <c r="BY331" s="179"/>
      <c r="BZ331" s="179" t="s">
        <v>164</v>
      </c>
      <c r="CA331" s="179"/>
      <c r="CB331" s="179" t="s">
        <v>164</v>
      </c>
      <c r="CC331" s="179"/>
      <c r="CD331" s="179" t="s">
        <v>164</v>
      </c>
      <c r="CE331" s="165" t="s">
        <v>588</v>
      </c>
      <c r="CF331" s="165" t="s">
        <v>164</v>
      </c>
      <c r="CG331" s="165" t="s">
        <v>164</v>
      </c>
      <c r="CH331" s="165" t="s">
        <v>164</v>
      </c>
      <c r="CI331" s="165" t="s">
        <v>164</v>
      </c>
      <c r="CJ331" s="165" t="s">
        <v>164</v>
      </c>
      <c r="CK331" s="165" t="s">
        <v>164</v>
      </c>
      <c r="CL331" s="165" t="s">
        <v>164</v>
      </c>
      <c r="CM331" s="165" t="s">
        <v>164</v>
      </c>
      <c r="CN331" s="165" t="s">
        <v>164</v>
      </c>
      <c r="CO331" s="165" t="s">
        <v>164</v>
      </c>
      <c r="CP331" s="165" t="s">
        <v>164</v>
      </c>
      <c r="CQ331" s="165" t="s">
        <v>164</v>
      </c>
      <c r="CR331" s="165" t="s">
        <v>164</v>
      </c>
      <c r="CS331" s="165" t="s">
        <v>164</v>
      </c>
      <c r="CT331" s="165" t="s">
        <v>164</v>
      </c>
      <c r="CU331" s="165" t="s">
        <v>164</v>
      </c>
      <c r="CV331" s="165" t="s">
        <v>164</v>
      </c>
      <c r="CW331" s="169"/>
      <c r="CX331" s="170"/>
      <c r="CY331" s="170"/>
      <c r="CZ331" s="33"/>
      <c r="DA331" s="33" t="s">
        <v>164</v>
      </c>
      <c r="DB331" s="33" t="s">
        <v>164</v>
      </c>
      <c r="DC331" s="33" t="s">
        <v>164</v>
      </c>
      <c r="DD331" s="33" t="s">
        <v>164</v>
      </c>
      <c r="DE331" s="33" t="s">
        <v>164</v>
      </c>
      <c r="DF331" s="33" t="s">
        <v>164</v>
      </c>
      <c r="DG331" s="33" t="s">
        <v>164</v>
      </c>
      <c r="DH331" s="33" t="s">
        <v>164</v>
      </c>
      <c r="DI331" s="33" t="s">
        <v>164</v>
      </c>
    </row>
    <row r="332" ht="15.75" customHeight="1">
      <c r="A332" s="44"/>
      <c r="B332" s="24"/>
      <c r="C332" s="35"/>
      <c r="D332" s="35"/>
      <c r="E332" s="35"/>
      <c r="F332" s="35"/>
      <c r="G332" s="35"/>
      <c r="H332" s="35"/>
      <c r="I332" s="35"/>
      <c r="J332" s="35" t="s">
        <v>617</v>
      </c>
      <c r="K332" s="87" t="s">
        <v>618</v>
      </c>
      <c r="L332" s="87"/>
      <c r="M332" s="87"/>
      <c r="N332" s="87" t="s">
        <v>618</v>
      </c>
      <c r="O332" s="21" t="s">
        <v>616</v>
      </c>
      <c r="P332" s="35"/>
      <c r="Q332" s="24" t="str">
        <f t="shared" si="24"/>
        <v>very fine-grained, homogeneous, grey/greyish marble</v>
      </c>
      <c r="R332" s="35" t="s">
        <v>188</v>
      </c>
      <c r="S332" s="35" t="s">
        <v>619</v>
      </c>
      <c r="T332" s="35" t="s">
        <v>194</v>
      </c>
      <c r="U332" s="35" t="s">
        <v>195</v>
      </c>
      <c r="V332" s="165" t="s">
        <v>164</v>
      </c>
      <c r="W332" s="76" t="s">
        <v>190</v>
      </c>
      <c r="X332" s="35" t="s">
        <v>164</v>
      </c>
      <c r="Y332" s="35" t="s">
        <v>164</v>
      </c>
      <c r="Z332" s="35" t="s">
        <v>164</v>
      </c>
      <c r="AA332" s="165"/>
      <c r="AB332" s="165"/>
      <c r="AC332" s="165" t="s">
        <v>164</v>
      </c>
      <c r="AD332" s="165" t="s">
        <v>164</v>
      </c>
      <c r="AE332" s="171"/>
      <c r="AF332" s="165" t="s">
        <v>164</v>
      </c>
      <c r="AG332" s="165" t="s">
        <v>164</v>
      </c>
      <c r="AH332" s="165" t="s">
        <v>164</v>
      </c>
      <c r="AI332" s="165" t="s">
        <v>164</v>
      </c>
      <c r="AJ332" s="165" t="s">
        <v>164</v>
      </c>
      <c r="AK332" s="165" t="s">
        <v>164</v>
      </c>
      <c r="AL332" s="165" t="s">
        <v>164</v>
      </c>
      <c r="AM332" s="181"/>
      <c r="AN332" s="181"/>
      <c r="AO332" s="28">
        <f t="shared" si="25"/>
        <v>0</v>
      </c>
      <c r="AP332" s="181" t="s">
        <v>164</v>
      </c>
      <c r="AQ332" s="178"/>
      <c r="AR332" s="178" t="s">
        <v>164</v>
      </c>
      <c r="AS332" s="178"/>
      <c r="AT332" s="178"/>
      <c r="AU332" s="178"/>
      <c r="AV332" s="178"/>
      <c r="AW332" s="178"/>
      <c r="AX332" s="178"/>
      <c r="AY332" s="178"/>
      <c r="AZ332" s="178"/>
      <c r="BA332" s="178"/>
      <c r="BB332" s="178"/>
      <c r="BC332" s="178"/>
      <c r="BD332" s="178"/>
      <c r="BE332" s="165" t="s">
        <v>164</v>
      </c>
      <c r="BF332" s="165" t="s">
        <v>164</v>
      </c>
      <c r="BG332" s="165" t="s">
        <v>164</v>
      </c>
      <c r="BH332" s="165" t="s">
        <v>164</v>
      </c>
      <c r="BI332" s="179"/>
      <c r="BJ332" s="179" t="s">
        <v>164</v>
      </c>
      <c r="BK332" s="179"/>
      <c r="BL332" s="179" t="s">
        <v>164</v>
      </c>
      <c r="BM332" s="179"/>
      <c r="BN332" s="179" t="s">
        <v>164</v>
      </c>
      <c r="BO332" s="179"/>
      <c r="BP332" s="179"/>
      <c r="BQ332" s="179"/>
      <c r="BR332" s="179" t="s">
        <v>164</v>
      </c>
      <c r="BS332" s="179"/>
      <c r="BT332" s="179" t="s">
        <v>164</v>
      </c>
      <c r="BU332" s="179"/>
      <c r="BV332" s="179"/>
      <c r="BW332" s="179"/>
      <c r="BX332" s="179" t="s">
        <v>164</v>
      </c>
      <c r="BY332" s="179"/>
      <c r="BZ332" s="179" t="s">
        <v>164</v>
      </c>
      <c r="CA332" s="179"/>
      <c r="CB332" s="179" t="s">
        <v>164</v>
      </c>
      <c r="CC332" s="179"/>
      <c r="CD332" s="179" t="s">
        <v>164</v>
      </c>
      <c r="CE332" s="165" t="s">
        <v>164</v>
      </c>
      <c r="CF332" s="165" t="s">
        <v>164</v>
      </c>
      <c r="CG332" s="165" t="s">
        <v>164</v>
      </c>
      <c r="CH332" s="165" t="s">
        <v>164</v>
      </c>
      <c r="CI332" s="165" t="s">
        <v>164</v>
      </c>
      <c r="CJ332" s="165" t="s">
        <v>164</v>
      </c>
      <c r="CK332" s="165" t="s">
        <v>164</v>
      </c>
      <c r="CL332" s="165" t="s">
        <v>164</v>
      </c>
      <c r="CM332" s="165" t="s">
        <v>164</v>
      </c>
      <c r="CN332" s="165" t="s">
        <v>164</v>
      </c>
      <c r="CO332" s="165" t="s">
        <v>164</v>
      </c>
      <c r="CP332" s="165" t="s">
        <v>164</v>
      </c>
      <c r="CQ332" s="165" t="s">
        <v>164</v>
      </c>
      <c r="CR332" s="165" t="s">
        <v>164</v>
      </c>
      <c r="CS332" s="165" t="s">
        <v>164</v>
      </c>
      <c r="CT332" s="165" t="s">
        <v>164</v>
      </c>
      <c r="CU332" s="165" t="s">
        <v>164</v>
      </c>
      <c r="CV332" s="165" t="s">
        <v>164</v>
      </c>
      <c r="CW332" s="169"/>
      <c r="CX332" s="170"/>
      <c r="CY332" s="170"/>
      <c r="CZ332" s="33"/>
      <c r="DA332" s="33" t="s">
        <v>164</v>
      </c>
      <c r="DB332" s="33" t="s">
        <v>164</v>
      </c>
      <c r="DC332" s="33" t="s">
        <v>164</v>
      </c>
      <c r="DD332" s="33" t="s">
        <v>164</v>
      </c>
      <c r="DE332" s="33" t="s">
        <v>164</v>
      </c>
      <c r="DF332" s="33" t="s">
        <v>164</v>
      </c>
      <c r="DG332" s="33" t="s">
        <v>164</v>
      </c>
      <c r="DH332" s="33" t="s">
        <v>164</v>
      </c>
      <c r="DI332" s="33" t="s">
        <v>164</v>
      </c>
    </row>
    <row r="333" ht="15.75" customHeight="1">
      <c r="A333" s="44"/>
      <c r="B333" s="24"/>
      <c r="C333" s="35"/>
      <c r="D333" s="35"/>
      <c r="E333" s="35"/>
      <c r="F333" s="35"/>
      <c r="G333" s="35"/>
      <c r="H333" s="35"/>
      <c r="I333" s="35"/>
      <c r="J333" s="35" t="s">
        <v>617</v>
      </c>
      <c r="K333" s="87" t="s">
        <v>620</v>
      </c>
      <c r="L333" s="87"/>
      <c r="M333" s="87"/>
      <c r="N333" s="87" t="s">
        <v>620</v>
      </c>
      <c r="O333" s="21" t="s">
        <v>616</v>
      </c>
      <c r="P333" s="35"/>
      <c r="Q333" s="24" t="str">
        <f t="shared" si="24"/>
        <v>fine-grained, veined, white marble</v>
      </c>
      <c r="R333" s="35" t="s">
        <v>180</v>
      </c>
      <c r="S333" s="35" t="s">
        <v>189</v>
      </c>
      <c r="T333" s="35" t="s">
        <v>206</v>
      </c>
      <c r="U333" s="35" t="s">
        <v>621</v>
      </c>
      <c r="V333" s="165" t="s">
        <v>164</v>
      </c>
      <c r="W333" s="76" t="s">
        <v>190</v>
      </c>
      <c r="X333" s="35" t="s">
        <v>164</v>
      </c>
      <c r="Y333" s="35" t="s">
        <v>164</v>
      </c>
      <c r="Z333" s="35" t="s">
        <v>164</v>
      </c>
      <c r="AA333" s="35"/>
      <c r="AB333" s="35"/>
      <c r="AC333" s="35"/>
      <c r="AD333" s="165" t="s">
        <v>164</v>
      </c>
      <c r="AE333" s="171"/>
      <c r="AF333" s="165" t="s">
        <v>164</v>
      </c>
      <c r="AG333" s="165" t="s">
        <v>164</v>
      </c>
      <c r="AH333" s="165" t="s">
        <v>164</v>
      </c>
      <c r="AI333" s="165" t="s">
        <v>164</v>
      </c>
      <c r="AJ333" s="165" t="s">
        <v>164</v>
      </c>
      <c r="AK333" s="165" t="s">
        <v>164</v>
      </c>
      <c r="AL333" s="165" t="s">
        <v>164</v>
      </c>
      <c r="AM333" s="181"/>
      <c r="AN333" s="181"/>
      <c r="AO333" s="28">
        <f t="shared" si="25"/>
        <v>0</v>
      </c>
      <c r="AP333" s="181" t="s">
        <v>164</v>
      </c>
      <c r="AQ333" s="178"/>
      <c r="AR333" s="178" t="s">
        <v>164</v>
      </c>
      <c r="AS333" s="178"/>
      <c r="AT333" s="178"/>
      <c r="AU333" s="178"/>
      <c r="AV333" s="178"/>
      <c r="AW333" s="178"/>
      <c r="AX333" s="178"/>
      <c r="AY333" s="178"/>
      <c r="AZ333" s="178"/>
      <c r="BA333" s="178"/>
      <c r="BB333" s="178"/>
      <c r="BC333" s="178"/>
      <c r="BD333" s="178"/>
      <c r="BE333" s="165" t="s">
        <v>164</v>
      </c>
      <c r="BF333" s="165" t="s">
        <v>164</v>
      </c>
      <c r="BG333" s="165" t="s">
        <v>164</v>
      </c>
      <c r="BH333" s="165" t="s">
        <v>164</v>
      </c>
      <c r="BI333" s="179"/>
      <c r="BJ333" s="179" t="s">
        <v>164</v>
      </c>
      <c r="BK333" s="179"/>
      <c r="BL333" s="179" t="s">
        <v>164</v>
      </c>
      <c r="BM333" s="179"/>
      <c r="BN333" s="179" t="s">
        <v>164</v>
      </c>
      <c r="BO333" s="179"/>
      <c r="BP333" s="179"/>
      <c r="BQ333" s="179"/>
      <c r="BR333" s="179" t="s">
        <v>164</v>
      </c>
      <c r="BS333" s="179"/>
      <c r="BT333" s="179" t="s">
        <v>164</v>
      </c>
      <c r="BU333" s="179"/>
      <c r="BV333" s="179"/>
      <c r="BW333" s="179"/>
      <c r="BX333" s="179" t="s">
        <v>164</v>
      </c>
      <c r="BY333" s="179"/>
      <c r="BZ333" s="179" t="s">
        <v>164</v>
      </c>
      <c r="CA333" s="179"/>
      <c r="CB333" s="179" t="s">
        <v>164</v>
      </c>
      <c r="CC333" s="179"/>
      <c r="CD333" s="179" t="s">
        <v>164</v>
      </c>
      <c r="CE333" s="165" t="s">
        <v>164</v>
      </c>
      <c r="CF333" s="165" t="s">
        <v>164</v>
      </c>
      <c r="CG333" s="165" t="s">
        <v>164</v>
      </c>
      <c r="CH333" s="165" t="s">
        <v>164</v>
      </c>
      <c r="CI333" s="165" t="s">
        <v>164</v>
      </c>
      <c r="CJ333" s="165" t="s">
        <v>164</v>
      </c>
      <c r="CK333" s="165" t="s">
        <v>164</v>
      </c>
      <c r="CL333" s="165" t="s">
        <v>164</v>
      </c>
      <c r="CM333" s="165" t="s">
        <v>164</v>
      </c>
      <c r="CN333" s="165" t="s">
        <v>164</v>
      </c>
      <c r="CO333" s="165" t="s">
        <v>164</v>
      </c>
      <c r="CP333" s="165" t="s">
        <v>164</v>
      </c>
      <c r="CQ333" s="165" t="s">
        <v>164</v>
      </c>
      <c r="CR333" s="165" t="s">
        <v>164</v>
      </c>
      <c r="CS333" s="165" t="s">
        <v>164</v>
      </c>
      <c r="CT333" s="165" t="s">
        <v>164</v>
      </c>
      <c r="CU333" s="165" t="s">
        <v>164</v>
      </c>
      <c r="CV333" s="165" t="s">
        <v>164</v>
      </c>
      <c r="CW333" s="169"/>
      <c r="CX333" s="170"/>
      <c r="CY333" s="170"/>
      <c r="CZ333" s="33"/>
      <c r="DA333" s="33" t="s">
        <v>164</v>
      </c>
      <c r="DB333" s="33" t="s">
        <v>164</v>
      </c>
      <c r="DC333" s="33" t="s">
        <v>164</v>
      </c>
      <c r="DD333" s="33" t="s">
        <v>164</v>
      </c>
      <c r="DE333" s="33" t="s">
        <v>164</v>
      </c>
      <c r="DF333" s="33" t="s">
        <v>164</v>
      </c>
      <c r="DG333" s="33" t="s">
        <v>164</v>
      </c>
      <c r="DH333" s="33" t="s">
        <v>164</v>
      </c>
      <c r="DI333" s="33" t="s">
        <v>164</v>
      </c>
    </row>
    <row r="334" ht="15.75" customHeight="1">
      <c r="A334" s="44"/>
      <c r="B334" s="24"/>
      <c r="C334" s="35"/>
      <c r="D334" s="35"/>
      <c r="E334" s="35"/>
      <c r="F334" s="35"/>
      <c r="G334" s="35"/>
      <c r="H334" s="35"/>
      <c r="I334" s="35"/>
      <c r="J334" s="35" t="s">
        <v>617</v>
      </c>
      <c r="K334" s="87" t="s">
        <v>615</v>
      </c>
      <c r="L334" s="87"/>
      <c r="M334" s="87"/>
      <c r="N334" s="87" t="s">
        <v>615</v>
      </c>
      <c r="O334" s="21" t="s">
        <v>616</v>
      </c>
      <c r="P334" s="35"/>
      <c r="Q334" s="24" t="str">
        <f t="shared" si="24"/>
        <v>medium-grained, homogeneous, white marble</v>
      </c>
      <c r="R334" s="35" t="s">
        <v>205</v>
      </c>
      <c r="S334" s="35" t="s">
        <v>189</v>
      </c>
      <c r="T334" s="35" t="s">
        <v>194</v>
      </c>
      <c r="U334" s="35" t="s">
        <v>195</v>
      </c>
      <c r="V334" s="165" t="s">
        <v>164</v>
      </c>
      <c r="W334" s="76" t="s">
        <v>190</v>
      </c>
      <c r="X334" s="35" t="s">
        <v>164</v>
      </c>
      <c r="Y334" s="35" t="s">
        <v>164</v>
      </c>
      <c r="Z334" s="35" t="s">
        <v>164</v>
      </c>
      <c r="AA334" s="165"/>
      <c r="AB334" s="165"/>
      <c r="AC334" s="165"/>
      <c r="AD334" s="165" t="s">
        <v>164</v>
      </c>
      <c r="AE334" s="171"/>
      <c r="AF334" s="165" t="s">
        <v>164</v>
      </c>
      <c r="AG334" s="165" t="s">
        <v>164</v>
      </c>
      <c r="AH334" s="165" t="s">
        <v>164</v>
      </c>
      <c r="AI334" s="165" t="s">
        <v>164</v>
      </c>
      <c r="AJ334" s="165" t="s">
        <v>164</v>
      </c>
      <c r="AK334" s="165" t="s">
        <v>164</v>
      </c>
      <c r="AL334" s="165" t="s">
        <v>164</v>
      </c>
      <c r="AM334" s="181"/>
      <c r="AN334" s="181"/>
      <c r="AO334" s="28">
        <f t="shared" si="25"/>
        <v>0</v>
      </c>
      <c r="AP334" s="181" t="s">
        <v>164</v>
      </c>
      <c r="AQ334" s="178"/>
      <c r="AR334" s="178" t="s">
        <v>164</v>
      </c>
      <c r="AS334" s="178"/>
      <c r="AT334" s="178"/>
      <c r="AU334" s="178"/>
      <c r="AV334" s="178"/>
      <c r="AW334" s="178"/>
      <c r="AX334" s="178"/>
      <c r="AY334" s="178"/>
      <c r="AZ334" s="178"/>
      <c r="BA334" s="178"/>
      <c r="BB334" s="178"/>
      <c r="BC334" s="178"/>
      <c r="BD334" s="178"/>
      <c r="BE334" s="165" t="s">
        <v>164</v>
      </c>
      <c r="BF334" s="165" t="s">
        <v>164</v>
      </c>
      <c r="BG334" s="165" t="s">
        <v>164</v>
      </c>
      <c r="BH334" s="165" t="s">
        <v>164</v>
      </c>
      <c r="BI334" s="179"/>
      <c r="BJ334" s="179" t="s">
        <v>164</v>
      </c>
      <c r="BK334" s="179"/>
      <c r="BL334" s="179" t="s">
        <v>164</v>
      </c>
      <c r="BM334" s="179"/>
      <c r="BN334" s="179" t="s">
        <v>164</v>
      </c>
      <c r="BO334" s="179"/>
      <c r="BP334" s="179"/>
      <c r="BQ334" s="179"/>
      <c r="BR334" s="179" t="s">
        <v>164</v>
      </c>
      <c r="BS334" s="179"/>
      <c r="BT334" s="179" t="s">
        <v>164</v>
      </c>
      <c r="BU334" s="179"/>
      <c r="BV334" s="179"/>
      <c r="BW334" s="179"/>
      <c r="BX334" s="179" t="s">
        <v>164</v>
      </c>
      <c r="BY334" s="179"/>
      <c r="BZ334" s="179" t="s">
        <v>164</v>
      </c>
      <c r="CA334" s="179"/>
      <c r="CB334" s="179" t="s">
        <v>164</v>
      </c>
      <c r="CC334" s="179"/>
      <c r="CD334" s="179" t="s">
        <v>164</v>
      </c>
      <c r="CE334" s="165" t="s">
        <v>164</v>
      </c>
      <c r="CF334" s="165" t="s">
        <v>164</v>
      </c>
      <c r="CG334" s="165" t="s">
        <v>164</v>
      </c>
      <c r="CH334" s="165" t="s">
        <v>164</v>
      </c>
      <c r="CI334" s="165" t="s">
        <v>164</v>
      </c>
      <c r="CJ334" s="165" t="s">
        <v>164</v>
      </c>
      <c r="CK334" s="165" t="s">
        <v>164</v>
      </c>
      <c r="CL334" s="165" t="s">
        <v>164</v>
      </c>
      <c r="CM334" s="165" t="s">
        <v>164</v>
      </c>
      <c r="CN334" s="165" t="s">
        <v>164</v>
      </c>
      <c r="CO334" s="165" t="s">
        <v>164</v>
      </c>
      <c r="CP334" s="165" t="s">
        <v>164</v>
      </c>
      <c r="CQ334" s="165" t="s">
        <v>164</v>
      </c>
      <c r="CR334" s="165" t="s">
        <v>164</v>
      </c>
      <c r="CS334" s="165" t="s">
        <v>164</v>
      </c>
      <c r="CT334" s="165" t="s">
        <v>164</v>
      </c>
      <c r="CU334" s="165" t="s">
        <v>164</v>
      </c>
      <c r="CV334" s="165" t="s">
        <v>164</v>
      </c>
      <c r="CW334" s="169"/>
      <c r="CX334" s="170"/>
      <c r="CY334" s="170"/>
      <c r="CZ334" s="33"/>
      <c r="DA334" s="33" t="s">
        <v>164</v>
      </c>
      <c r="DB334" s="33" t="s">
        <v>164</v>
      </c>
      <c r="DC334" s="33" t="s">
        <v>164</v>
      </c>
      <c r="DD334" s="33" t="s">
        <v>164</v>
      </c>
      <c r="DE334" s="33" t="s">
        <v>164</v>
      </c>
      <c r="DF334" s="33" t="s">
        <v>164</v>
      </c>
      <c r="DG334" s="33" t="s">
        <v>164</v>
      </c>
      <c r="DH334" s="33" t="s">
        <v>164</v>
      </c>
      <c r="DI334" s="33" t="s">
        <v>164</v>
      </c>
    </row>
    <row r="335" ht="15.75" customHeight="1">
      <c r="A335" s="44"/>
      <c r="B335" s="24"/>
      <c r="C335" s="35"/>
      <c r="D335" s="35"/>
      <c r="E335" s="35"/>
      <c r="F335" s="35"/>
      <c r="G335" s="35"/>
      <c r="H335" s="35"/>
      <c r="I335" s="35"/>
      <c r="J335" s="35" t="s">
        <v>586</v>
      </c>
      <c r="K335" s="87" t="s">
        <v>225</v>
      </c>
      <c r="L335" s="87"/>
      <c r="M335" s="87"/>
      <c r="N335" s="87" t="s">
        <v>225</v>
      </c>
      <c r="O335" s="177" t="s">
        <v>622</v>
      </c>
      <c r="P335" s="35"/>
      <c r="Q335" s="24" t="str">
        <f t="shared" si="24"/>
        <v>fine-grained, homogeneous, white marble</v>
      </c>
      <c r="R335" s="56" t="s">
        <v>180</v>
      </c>
      <c r="S335" s="56" t="s">
        <v>189</v>
      </c>
      <c r="T335" s="56" t="s">
        <v>194</v>
      </c>
      <c r="U335" s="165" t="s">
        <v>164</v>
      </c>
      <c r="V335" s="165" t="s">
        <v>164</v>
      </c>
      <c r="W335" s="76" t="s">
        <v>190</v>
      </c>
      <c r="X335" s="35" t="s">
        <v>164</v>
      </c>
      <c r="Y335" s="35" t="s">
        <v>164</v>
      </c>
      <c r="Z335" s="35" t="s">
        <v>164</v>
      </c>
      <c r="AA335" s="165"/>
      <c r="AB335" s="165"/>
      <c r="AC335" s="165" t="s">
        <v>164</v>
      </c>
      <c r="AD335" s="165" t="s">
        <v>164</v>
      </c>
      <c r="AE335" s="171"/>
      <c r="AF335" s="165" t="s">
        <v>164</v>
      </c>
      <c r="AG335" s="165" t="s">
        <v>164</v>
      </c>
      <c r="AH335" s="165" t="s">
        <v>164</v>
      </c>
      <c r="AI335" s="165" t="s">
        <v>164</v>
      </c>
      <c r="AJ335" s="165" t="s">
        <v>164</v>
      </c>
      <c r="AK335" s="165" t="s">
        <v>164</v>
      </c>
      <c r="AL335" s="165" t="s">
        <v>164</v>
      </c>
      <c r="AM335" s="181"/>
      <c r="AN335" s="181"/>
      <c r="AO335" s="28">
        <f t="shared" si="25"/>
        <v>100</v>
      </c>
      <c r="AP335" s="181">
        <v>99.9</v>
      </c>
      <c r="AQ335" s="178"/>
      <c r="AR335" s="182">
        <v>0.1</v>
      </c>
      <c r="AS335" s="178"/>
      <c r="AT335" s="178" t="s">
        <v>164</v>
      </c>
      <c r="AU335" s="178"/>
      <c r="AV335" s="178"/>
      <c r="AW335" s="178"/>
      <c r="AX335" s="178"/>
      <c r="AY335" s="178"/>
      <c r="AZ335" s="178"/>
      <c r="BA335" s="178"/>
      <c r="BB335" s="178"/>
      <c r="BC335" s="178"/>
      <c r="BD335" s="178"/>
      <c r="BE335" s="165" t="s">
        <v>164</v>
      </c>
      <c r="BF335" s="165" t="s">
        <v>164</v>
      </c>
      <c r="BG335" s="165" t="s">
        <v>164</v>
      </c>
      <c r="BH335" s="165" t="s">
        <v>164</v>
      </c>
      <c r="BI335" s="179"/>
      <c r="BJ335" s="179" t="s">
        <v>164</v>
      </c>
      <c r="BK335" s="179"/>
      <c r="BL335" s="179" t="s">
        <v>164</v>
      </c>
      <c r="BM335" s="179"/>
      <c r="BN335" s="179" t="s">
        <v>164</v>
      </c>
      <c r="BO335" s="179"/>
      <c r="BP335" s="179"/>
      <c r="BQ335" s="179"/>
      <c r="BR335" s="179" t="s">
        <v>164</v>
      </c>
      <c r="BS335" s="179"/>
      <c r="BT335" s="179" t="s">
        <v>164</v>
      </c>
      <c r="BU335" s="179"/>
      <c r="BV335" s="179"/>
      <c r="BW335" s="179"/>
      <c r="BX335" s="179" t="s">
        <v>164</v>
      </c>
      <c r="BY335" s="179"/>
      <c r="BZ335" s="179" t="s">
        <v>164</v>
      </c>
      <c r="CA335" s="179"/>
      <c r="CB335" s="179" t="s">
        <v>164</v>
      </c>
      <c r="CC335" s="179"/>
      <c r="CD335" s="179" t="s">
        <v>164</v>
      </c>
      <c r="CE335" s="165" t="s">
        <v>585</v>
      </c>
      <c r="CF335" s="165" t="s">
        <v>164</v>
      </c>
      <c r="CG335" s="165" t="s">
        <v>164</v>
      </c>
      <c r="CH335" s="165" t="s">
        <v>164</v>
      </c>
      <c r="CI335" s="165" t="s">
        <v>164</v>
      </c>
      <c r="CJ335" s="165" t="s">
        <v>164</v>
      </c>
      <c r="CK335" s="165" t="s">
        <v>164</v>
      </c>
      <c r="CL335" s="165" t="s">
        <v>164</v>
      </c>
      <c r="CM335" s="165" t="s">
        <v>164</v>
      </c>
      <c r="CN335" s="165" t="s">
        <v>164</v>
      </c>
      <c r="CO335" s="165" t="s">
        <v>164</v>
      </c>
      <c r="CP335" s="165" t="s">
        <v>164</v>
      </c>
      <c r="CQ335" s="165" t="s">
        <v>164</v>
      </c>
      <c r="CR335" s="165" t="s">
        <v>164</v>
      </c>
      <c r="CS335" s="165" t="s">
        <v>164</v>
      </c>
      <c r="CT335" s="165" t="s">
        <v>164</v>
      </c>
      <c r="CU335" s="165" t="s">
        <v>164</v>
      </c>
      <c r="CV335" s="165" t="s">
        <v>164</v>
      </c>
      <c r="CW335" s="169"/>
      <c r="CX335" s="170"/>
      <c r="CY335" s="170"/>
      <c r="CZ335" s="33"/>
      <c r="DA335" s="33" t="s">
        <v>164</v>
      </c>
      <c r="DB335" s="33" t="s">
        <v>164</v>
      </c>
      <c r="DC335" s="33" t="s">
        <v>164</v>
      </c>
      <c r="DD335" s="33" t="s">
        <v>164</v>
      </c>
      <c r="DE335" s="33" t="s">
        <v>164</v>
      </c>
      <c r="DF335" s="33" t="s">
        <v>164</v>
      </c>
      <c r="DG335" s="33" t="s">
        <v>164</v>
      </c>
      <c r="DH335" s="33" t="s">
        <v>164</v>
      </c>
      <c r="DI335" s="33" t="s">
        <v>164</v>
      </c>
      <c r="DJ335" s="134"/>
      <c r="DK335" s="63"/>
      <c r="DL335" s="63"/>
      <c r="DM335" s="63"/>
      <c r="DN335" s="63"/>
      <c r="DO335" s="63"/>
      <c r="DP335" s="63"/>
      <c r="DQ335" s="63"/>
      <c r="DR335" s="63"/>
      <c r="DS335" s="63"/>
      <c r="DT335" s="63"/>
      <c r="DU335" s="63"/>
      <c r="DV335" s="63"/>
      <c r="DW335" s="63"/>
      <c r="DX335" s="63"/>
      <c r="DY335" s="63"/>
      <c r="DZ335" s="63"/>
      <c r="EA335" s="63"/>
      <c r="EB335" s="63"/>
      <c r="EC335" s="63"/>
      <c r="ED335" s="63"/>
      <c r="EE335" s="63"/>
      <c r="EF335" s="150"/>
      <c r="EG335" s="63"/>
      <c r="EH335" s="63"/>
      <c r="EI335" s="63"/>
      <c r="EJ335" s="63"/>
      <c r="EK335" s="63"/>
      <c r="EL335" s="63"/>
      <c r="EM335" s="63"/>
      <c r="EN335" s="63"/>
      <c r="EO335" s="63"/>
      <c r="EP335" s="63"/>
      <c r="EQ335" s="63"/>
      <c r="ER335" s="63"/>
      <c r="ES335" s="63"/>
      <c r="ET335" s="63"/>
      <c r="EU335" s="63"/>
      <c r="EV335" s="63"/>
      <c r="EW335" s="63"/>
      <c r="EX335" s="63"/>
      <c r="EY335" s="63"/>
      <c r="EZ335" s="33"/>
    </row>
    <row r="336" ht="15.75" customHeight="1">
      <c r="A336" s="44"/>
      <c r="B336" s="24"/>
      <c r="C336" s="35"/>
      <c r="D336" s="35"/>
      <c r="E336" s="35"/>
      <c r="F336" s="35"/>
      <c r="G336" s="35"/>
      <c r="H336" s="35"/>
      <c r="I336" s="35"/>
      <c r="J336" s="35" t="s">
        <v>586</v>
      </c>
      <c r="K336" s="87" t="s">
        <v>225</v>
      </c>
      <c r="L336" s="87"/>
      <c r="M336" s="87"/>
      <c r="N336" s="87" t="s">
        <v>225</v>
      </c>
      <c r="O336" s="177" t="s">
        <v>623</v>
      </c>
      <c r="P336" s="35"/>
      <c r="Q336" s="24" t="str">
        <f t="shared" si="24"/>
        <v>fine-grained, homogeneous, white marble</v>
      </c>
      <c r="R336" s="56" t="s">
        <v>180</v>
      </c>
      <c r="S336" s="56" t="s">
        <v>189</v>
      </c>
      <c r="T336" s="56" t="s">
        <v>194</v>
      </c>
      <c r="U336" s="165" t="s">
        <v>164</v>
      </c>
      <c r="V336" s="165" t="s">
        <v>164</v>
      </c>
      <c r="W336" s="76" t="s">
        <v>190</v>
      </c>
      <c r="X336" s="35" t="s">
        <v>164</v>
      </c>
      <c r="Y336" s="35" t="s">
        <v>164</v>
      </c>
      <c r="Z336" s="35" t="s">
        <v>164</v>
      </c>
      <c r="AA336" s="165"/>
      <c r="AB336" s="165"/>
      <c r="AC336" s="165" t="s">
        <v>164</v>
      </c>
      <c r="AD336" s="165" t="s">
        <v>164</v>
      </c>
      <c r="AE336" s="171"/>
      <c r="AF336" s="165" t="s">
        <v>164</v>
      </c>
      <c r="AG336" s="165" t="s">
        <v>164</v>
      </c>
      <c r="AH336" s="165" t="s">
        <v>164</v>
      </c>
      <c r="AI336" s="165" t="s">
        <v>164</v>
      </c>
      <c r="AJ336" s="165" t="s">
        <v>164</v>
      </c>
      <c r="AK336" s="165" t="s">
        <v>164</v>
      </c>
      <c r="AL336" s="165" t="s">
        <v>164</v>
      </c>
      <c r="AM336" s="181"/>
      <c r="AN336" s="181"/>
      <c r="AO336" s="28">
        <f t="shared" si="25"/>
        <v>100</v>
      </c>
      <c r="AP336" s="181">
        <v>93.1</v>
      </c>
      <c r="AQ336" s="178"/>
      <c r="AR336" s="182">
        <v>6.9</v>
      </c>
      <c r="AS336" s="178"/>
      <c r="AT336" s="178" t="s">
        <v>164</v>
      </c>
      <c r="AU336" s="178"/>
      <c r="AV336" s="178"/>
      <c r="AW336" s="178"/>
      <c r="AX336" s="178"/>
      <c r="AY336" s="178"/>
      <c r="AZ336" s="178"/>
      <c r="BA336" s="178"/>
      <c r="BB336" s="178"/>
      <c r="BC336" s="178"/>
      <c r="BD336" s="178"/>
      <c r="BE336" s="165" t="s">
        <v>164</v>
      </c>
      <c r="BF336" s="165" t="s">
        <v>164</v>
      </c>
      <c r="BG336" s="165" t="s">
        <v>164</v>
      </c>
      <c r="BH336" s="165" t="s">
        <v>164</v>
      </c>
      <c r="BI336" s="179"/>
      <c r="BJ336" s="179" t="s">
        <v>164</v>
      </c>
      <c r="BK336" s="179"/>
      <c r="BL336" s="179" t="s">
        <v>164</v>
      </c>
      <c r="BM336" s="179"/>
      <c r="BN336" s="179" t="s">
        <v>164</v>
      </c>
      <c r="BO336" s="179"/>
      <c r="BP336" s="179"/>
      <c r="BQ336" s="179"/>
      <c r="BR336" s="179" t="s">
        <v>164</v>
      </c>
      <c r="BS336" s="179"/>
      <c r="BT336" s="179" t="s">
        <v>164</v>
      </c>
      <c r="BU336" s="179"/>
      <c r="BV336" s="179"/>
      <c r="BW336" s="179"/>
      <c r="BX336" s="179" t="s">
        <v>164</v>
      </c>
      <c r="BY336" s="179"/>
      <c r="BZ336" s="179" t="s">
        <v>164</v>
      </c>
      <c r="CA336" s="179"/>
      <c r="CB336" s="179" t="s">
        <v>164</v>
      </c>
      <c r="CC336" s="179"/>
      <c r="CD336" s="179" t="s">
        <v>164</v>
      </c>
      <c r="CE336" s="165" t="s">
        <v>585</v>
      </c>
      <c r="CF336" s="165" t="s">
        <v>164</v>
      </c>
      <c r="CG336" s="165" t="s">
        <v>164</v>
      </c>
      <c r="CH336" s="165" t="s">
        <v>164</v>
      </c>
      <c r="CI336" s="165" t="s">
        <v>164</v>
      </c>
      <c r="CJ336" s="165" t="s">
        <v>164</v>
      </c>
      <c r="CK336" s="165" t="s">
        <v>164</v>
      </c>
      <c r="CL336" s="165" t="s">
        <v>164</v>
      </c>
      <c r="CM336" s="165" t="s">
        <v>164</v>
      </c>
      <c r="CN336" s="165" t="s">
        <v>164</v>
      </c>
      <c r="CO336" s="165" t="s">
        <v>164</v>
      </c>
      <c r="CP336" s="165" t="s">
        <v>164</v>
      </c>
      <c r="CQ336" s="165" t="s">
        <v>164</v>
      </c>
      <c r="CR336" s="165" t="s">
        <v>164</v>
      </c>
      <c r="CS336" s="165" t="s">
        <v>164</v>
      </c>
      <c r="CT336" s="165" t="s">
        <v>164</v>
      </c>
      <c r="CU336" s="165" t="s">
        <v>164</v>
      </c>
      <c r="CV336" s="165" t="s">
        <v>164</v>
      </c>
      <c r="CW336" s="169"/>
      <c r="CX336" s="170"/>
      <c r="CY336" s="170"/>
      <c r="CZ336" s="33"/>
      <c r="DA336" s="33" t="s">
        <v>164</v>
      </c>
      <c r="DB336" s="33" t="s">
        <v>164</v>
      </c>
      <c r="DC336" s="33" t="s">
        <v>164</v>
      </c>
      <c r="DD336" s="33" t="s">
        <v>164</v>
      </c>
      <c r="DE336" s="33" t="s">
        <v>164</v>
      </c>
      <c r="DF336" s="33" t="s">
        <v>164</v>
      </c>
      <c r="DG336" s="33" t="s">
        <v>164</v>
      </c>
      <c r="DH336" s="33" t="s">
        <v>164</v>
      </c>
      <c r="DI336" s="33" t="s">
        <v>164</v>
      </c>
      <c r="DJ336" s="33"/>
      <c r="DK336" s="33"/>
      <c r="DL336" s="33"/>
      <c r="DM336" s="33"/>
      <c r="DN336" s="33"/>
      <c r="DO336" s="33"/>
      <c r="DP336" s="33"/>
      <c r="DQ336" s="33"/>
      <c r="DR336" s="33"/>
      <c r="DS336" s="33"/>
      <c r="DT336" s="33"/>
      <c r="DU336" s="33"/>
      <c r="DV336" s="33"/>
      <c r="DW336" s="33"/>
      <c r="DX336" s="33"/>
      <c r="DY336" s="33"/>
      <c r="DZ336" s="33"/>
      <c r="EA336" s="33"/>
      <c r="EB336" s="33"/>
      <c r="EC336" s="33"/>
      <c r="ED336" s="33"/>
      <c r="EE336" s="33"/>
      <c r="EF336" s="33"/>
      <c r="EG336" s="33"/>
      <c r="EH336" s="33"/>
      <c r="EI336" s="33"/>
      <c r="EJ336" s="33"/>
      <c r="EK336" s="33"/>
      <c r="EL336" s="33"/>
      <c r="EM336" s="33"/>
      <c r="EN336" s="33"/>
      <c r="EO336" s="33"/>
      <c r="EP336" s="33"/>
      <c r="EQ336" s="33"/>
      <c r="ER336" s="33"/>
      <c r="ES336" s="33"/>
      <c r="ET336" s="33"/>
      <c r="EU336" s="33"/>
      <c r="EV336" s="33"/>
      <c r="EW336" s="33"/>
      <c r="EX336" s="33"/>
      <c r="EY336" s="33"/>
      <c r="EZ336" s="33"/>
    </row>
    <row r="337" ht="15.75" customHeight="1">
      <c r="A337" s="20"/>
      <c r="B337" s="20"/>
      <c r="C337" s="165"/>
      <c r="D337" s="165"/>
      <c r="E337" s="165"/>
      <c r="F337" s="165"/>
      <c r="G337" s="165"/>
      <c r="H337" s="165"/>
      <c r="I337" s="165"/>
      <c r="J337" s="165" t="s">
        <v>581</v>
      </c>
      <c r="K337" s="87" t="s">
        <v>481</v>
      </c>
      <c r="L337" s="87"/>
      <c r="M337" s="87"/>
      <c r="N337" s="87" t="s">
        <v>481</v>
      </c>
      <c r="O337" s="180" t="s">
        <v>624</v>
      </c>
      <c r="P337" s="35"/>
      <c r="Q337" s="24" t="str">
        <f t="shared" si="24"/>
        <v>fine-grained, homogeneous,  marble</v>
      </c>
      <c r="R337" s="35" t="s">
        <v>180</v>
      </c>
      <c r="S337" s="35" t="s">
        <v>164</v>
      </c>
      <c r="T337" s="35" t="s">
        <v>194</v>
      </c>
      <c r="U337" s="165" t="s">
        <v>164</v>
      </c>
      <c r="V337" s="165" t="s">
        <v>164</v>
      </c>
      <c r="W337" s="56" t="s">
        <v>190</v>
      </c>
      <c r="X337" s="35" t="s">
        <v>164</v>
      </c>
      <c r="Y337" s="35" t="s">
        <v>164</v>
      </c>
      <c r="Z337" s="35" t="s">
        <v>164</v>
      </c>
      <c r="AA337" s="165"/>
      <c r="AB337" s="165"/>
      <c r="AC337" s="86" t="s">
        <v>166</v>
      </c>
      <c r="AD337" s="56" t="s">
        <v>191</v>
      </c>
      <c r="AE337" s="166" t="s">
        <v>384</v>
      </c>
      <c r="AF337" s="165" t="s">
        <v>164</v>
      </c>
      <c r="AG337" s="165" t="s">
        <v>166</v>
      </c>
      <c r="AH337" s="165" t="s">
        <v>164</v>
      </c>
      <c r="AI337" s="165" t="s">
        <v>164</v>
      </c>
      <c r="AJ337" s="165" t="s">
        <v>164</v>
      </c>
      <c r="AK337" s="165" t="s">
        <v>164</v>
      </c>
      <c r="AL337" s="165" t="s">
        <v>166</v>
      </c>
      <c r="AM337" s="178"/>
      <c r="AN337" s="178"/>
      <c r="AO337" s="28">
        <f t="shared" si="25"/>
        <v>0</v>
      </c>
      <c r="AP337" s="178" t="s">
        <v>164</v>
      </c>
      <c r="AQ337" s="178"/>
      <c r="AR337" s="178" t="s">
        <v>164</v>
      </c>
      <c r="AS337" s="178"/>
      <c r="AT337" s="178" t="s">
        <v>164</v>
      </c>
      <c r="AU337" s="178"/>
      <c r="AV337" s="178"/>
      <c r="AW337" s="178"/>
      <c r="AX337" s="178"/>
      <c r="AY337" s="178"/>
      <c r="AZ337" s="178"/>
      <c r="BA337" s="178"/>
      <c r="BB337" s="178"/>
      <c r="BC337" s="178"/>
      <c r="BD337" s="178"/>
      <c r="BE337" s="165" t="s">
        <v>164</v>
      </c>
      <c r="BF337" s="165" t="s">
        <v>164</v>
      </c>
      <c r="BG337" s="165" t="s">
        <v>164</v>
      </c>
      <c r="BH337" s="165" t="s">
        <v>164</v>
      </c>
      <c r="BI337" s="179"/>
      <c r="BJ337" s="179" t="s">
        <v>164</v>
      </c>
      <c r="BK337" s="179"/>
      <c r="BL337" s="179" t="s">
        <v>164</v>
      </c>
      <c r="BM337" s="179"/>
      <c r="BN337" s="179" t="s">
        <v>164</v>
      </c>
      <c r="BO337" s="179"/>
      <c r="BP337" s="179"/>
      <c r="BQ337" s="179"/>
      <c r="BR337" s="179" t="s">
        <v>164</v>
      </c>
      <c r="BS337" s="179"/>
      <c r="BT337" s="179" t="s">
        <v>164</v>
      </c>
      <c r="BU337" s="179"/>
      <c r="BV337" s="179"/>
      <c r="BW337" s="179"/>
      <c r="BX337" s="179" t="s">
        <v>164</v>
      </c>
      <c r="BY337" s="179"/>
      <c r="BZ337" s="179" t="s">
        <v>164</v>
      </c>
      <c r="CA337" s="179"/>
      <c r="CB337" s="179" t="s">
        <v>164</v>
      </c>
      <c r="CC337" s="179"/>
      <c r="CD337" s="179" t="s">
        <v>164</v>
      </c>
      <c r="CE337" s="165" t="s">
        <v>164</v>
      </c>
      <c r="CF337" s="165" t="s">
        <v>164</v>
      </c>
      <c r="CG337" s="165" t="s">
        <v>164</v>
      </c>
      <c r="CH337" s="165" t="s">
        <v>164</v>
      </c>
      <c r="CI337" s="165" t="s">
        <v>164</v>
      </c>
      <c r="CJ337" s="165" t="s">
        <v>164</v>
      </c>
      <c r="CK337" s="165" t="s">
        <v>164</v>
      </c>
      <c r="CL337" s="165" t="s">
        <v>164</v>
      </c>
      <c r="CM337" s="165" t="s">
        <v>164</v>
      </c>
      <c r="CN337" s="165" t="s">
        <v>585</v>
      </c>
      <c r="CO337" s="165" t="s">
        <v>164</v>
      </c>
      <c r="CP337" s="165" t="s">
        <v>164</v>
      </c>
      <c r="CQ337" s="165" t="s">
        <v>164</v>
      </c>
      <c r="CR337" s="165" t="s">
        <v>164</v>
      </c>
      <c r="CS337" s="165" t="s">
        <v>164</v>
      </c>
      <c r="CT337" s="165" t="s">
        <v>164</v>
      </c>
      <c r="CU337" s="165" t="s">
        <v>164</v>
      </c>
      <c r="CV337" s="165" t="s">
        <v>164</v>
      </c>
      <c r="CW337" s="185"/>
      <c r="CX337" s="185"/>
      <c r="CY337" s="185"/>
      <c r="CZ337" s="33"/>
      <c r="DA337" s="33" t="s">
        <v>164</v>
      </c>
      <c r="DB337" s="33" t="s">
        <v>164</v>
      </c>
      <c r="DC337" s="33" t="s">
        <v>164</v>
      </c>
      <c r="DD337" s="33" t="s">
        <v>164</v>
      </c>
      <c r="DE337" s="33" t="s">
        <v>164</v>
      </c>
      <c r="DF337" s="33" t="s">
        <v>164</v>
      </c>
      <c r="DG337" s="33" t="s">
        <v>164</v>
      </c>
      <c r="DH337" s="33" t="s">
        <v>164</v>
      </c>
      <c r="DI337" s="33" t="s">
        <v>164</v>
      </c>
      <c r="DJ337" s="134"/>
      <c r="DK337" s="63"/>
      <c r="DL337" s="63"/>
      <c r="DM337" s="63"/>
      <c r="DN337" s="63"/>
      <c r="DO337" s="63"/>
      <c r="DP337" s="63"/>
      <c r="DQ337" s="63"/>
      <c r="DR337" s="63"/>
      <c r="DS337" s="63"/>
      <c r="DT337" s="63"/>
      <c r="DU337" s="63"/>
      <c r="DV337" s="63"/>
      <c r="DW337" s="63"/>
      <c r="DX337" s="63"/>
      <c r="DY337" s="63"/>
      <c r="DZ337" s="63"/>
      <c r="EA337" s="63"/>
      <c r="EB337" s="63"/>
      <c r="EC337" s="63"/>
      <c r="ED337" s="63"/>
      <c r="EE337" s="63"/>
      <c r="EF337" s="63"/>
      <c r="EG337" s="63"/>
      <c r="EH337" s="63"/>
      <c r="EI337" s="63"/>
      <c r="EJ337" s="63"/>
      <c r="EK337" s="63"/>
      <c r="EL337" s="63"/>
      <c r="EM337" s="63"/>
      <c r="EN337" s="63"/>
      <c r="EO337" s="63"/>
      <c r="EP337" s="63"/>
      <c r="EQ337" s="63"/>
      <c r="ER337" s="63"/>
      <c r="ES337" s="63"/>
      <c r="ET337" s="63"/>
      <c r="EU337" s="63"/>
      <c r="EV337" s="63"/>
      <c r="EW337" s="63"/>
      <c r="EX337" s="63"/>
      <c r="EY337" s="63"/>
      <c r="EZ337" s="33"/>
      <c r="FA337" s="33"/>
      <c r="FB337" s="33"/>
      <c r="FC337" s="33"/>
      <c r="FD337" s="33"/>
      <c r="FE337" s="33"/>
      <c r="FF337" s="33"/>
      <c r="FG337" s="33"/>
      <c r="FH337" s="33"/>
      <c r="FI337" s="33"/>
      <c r="FJ337" s="33"/>
      <c r="FK337" s="33"/>
      <c r="FL337" s="33"/>
      <c r="FM337" s="33"/>
      <c r="FN337" s="33"/>
      <c r="FO337" s="33"/>
      <c r="FP337" s="33"/>
      <c r="FQ337" s="33"/>
      <c r="FR337" s="33"/>
      <c r="FS337" s="33"/>
      <c r="FT337" s="33"/>
      <c r="FU337" s="33"/>
      <c r="FV337" s="33"/>
      <c r="FW337" s="33"/>
      <c r="FX337" s="33"/>
      <c r="FY337" s="33"/>
      <c r="FZ337" s="33"/>
      <c r="GA337" s="33"/>
    </row>
    <row r="338" ht="15.75" customHeight="1">
      <c r="A338" s="44"/>
      <c r="B338" s="24"/>
      <c r="C338" s="35"/>
      <c r="D338" s="35"/>
      <c r="E338" s="35"/>
      <c r="F338" s="35"/>
      <c r="G338" s="35"/>
      <c r="H338" s="35"/>
      <c r="I338" s="35"/>
      <c r="J338" s="35" t="s">
        <v>608</v>
      </c>
      <c r="K338" s="87" t="s">
        <v>625</v>
      </c>
      <c r="L338" s="87"/>
      <c r="M338" s="87"/>
      <c r="N338" s="87" t="s">
        <v>625</v>
      </c>
      <c r="O338" s="177" t="s">
        <v>626</v>
      </c>
      <c r="P338" s="35"/>
      <c r="Q338" s="24" t="str">
        <f t="shared" si="24"/>
        <v>coarse with fine areas-grained, homogeneous, white marble</v>
      </c>
      <c r="R338" s="35" t="s">
        <v>627</v>
      </c>
      <c r="S338" s="35" t="s">
        <v>189</v>
      </c>
      <c r="T338" s="35" t="s">
        <v>194</v>
      </c>
      <c r="U338" s="165" t="s">
        <v>164</v>
      </c>
      <c r="V338" s="165" t="s">
        <v>164</v>
      </c>
      <c r="W338" s="56" t="s">
        <v>190</v>
      </c>
      <c r="X338" s="35" t="s">
        <v>164</v>
      </c>
      <c r="Y338" s="35" t="s">
        <v>164</v>
      </c>
      <c r="Z338" s="35" t="s">
        <v>164</v>
      </c>
      <c r="AA338" s="35"/>
      <c r="AB338" s="35"/>
      <c r="AC338" s="35"/>
      <c r="AD338" s="165" t="s">
        <v>164</v>
      </c>
      <c r="AE338" s="171"/>
      <c r="AF338" s="165" t="s">
        <v>164</v>
      </c>
      <c r="AG338" s="165" t="s">
        <v>164</v>
      </c>
      <c r="AH338" s="165" t="s">
        <v>164</v>
      </c>
      <c r="AI338" s="165" t="s">
        <v>164</v>
      </c>
      <c r="AJ338" s="165" t="s">
        <v>164</v>
      </c>
      <c r="AK338" s="165" t="s">
        <v>164</v>
      </c>
      <c r="AL338" s="165" t="s">
        <v>164</v>
      </c>
      <c r="AM338" s="181"/>
      <c r="AN338" s="181"/>
      <c r="AO338" s="28">
        <f t="shared" si="25"/>
        <v>0</v>
      </c>
      <c r="AP338" s="181" t="s">
        <v>164</v>
      </c>
      <c r="AQ338" s="178"/>
      <c r="AR338" s="178" t="s">
        <v>164</v>
      </c>
      <c r="AS338" s="178"/>
      <c r="AT338" s="178"/>
      <c r="AU338" s="178"/>
      <c r="AV338" s="178"/>
      <c r="AW338" s="178"/>
      <c r="AX338" s="178"/>
      <c r="AY338" s="178"/>
      <c r="AZ338" s="178"/>
      <c r="BA338" s="178"/>
      <c r="BB338" s="178"/>
      <c r="BC338" s="178"/>
      <c r="BD338" s="178"/>
      <c r="BE338" s="165" t="s">
        <v>164</v>
      </c>
      <c r="BF338" s="165" t="s">
        <v>164</v>
      </c>
      <c r="BG338" s="165" t="s">
        <v>164</v>
      </c>
      <c r="BH338" s="165" t="s">
        <v>164</v>
      </c>
      <c r="BI338" s="179"/>
      <c r="BJ338" s="179" t="s">
        <v>164</v>
      </c>
      <c r="BK338" s="179"/>
      <c r="BL338" s="179" t="s">
        <v>164</v>
      </c>
      <c r="BM338" s="179"/>
      <c r="BN338" s="179" t="s">
        <v>164</v>
      </c>
      <c r="BO338" s="179"/>
      <c r="BP338" s="179"/>
      <c r="BQ338" s="179"/>
      <c r="BR338" s="179" t="s">
        <v>164</v>
      </c>
      <c r="BS338" s="179"/>
      <c r="BT338" s="179" t="s">
        <v>164</v>
      </c>
      <c r="BU338" s="179"/>
      <c r="BV338" s="179"/>
      <c r="BW338" s="179"/>
      <c r="BX338" s="179" t="s">
        <v>164</v>
      </c>
      <c r="BY338" s="179"/>
      <c r="BZ338" s="179" t="s">
        <v>164</v>
      </c>
      <c r="CA338" s="179"/>
      <c r="CB338" s="179" t="s">
        <v>164</v>
      </c>
      <c r="CC338" s="179"/>
      <c r="CD338" s="179" t="s">
        <v>164</v>
      </c>
      <c r="CE338" s="165" t="s">
        <v>164</v>
      </c>
      <c r="CF338" s="165" t="s">
        <v>164</v>
      </c>
      <c r="CG338" s="165" t="s">
        <v>164</v>
      </c>
      <c r="CH338" s="165" t="s">
        <v>164</v>
      </c>
      <c r="CI338" s="165" t="s">
        <v>164</v>
      </c>
      <c r="CJ338" s="165" t="s">
        <v>164</v>
      </c>
      <c r="CK338" s="165" t="s">
        <v>164</v>
      </c>
      <c r="CL338" s="165" t="s">
        <v>164</v>
      </c>
      <c r="CM338" s="165" t="s">
        <v>164</v>
      </c>
      <c r="CN338" s="165" t="s">
        <v>164</v>
      </c>
      <c r="CO338" s="165" t="s">
        <v>164</v>
      </c>
      <c r="CP338" s="165" t="s">
        <v>164</v>
      </c>
      <c r="CQ338" s="165" t="s">
        <v>164</v>
      </c>
      <c r="CR338" s="165" t="s">
        <v>164</v>
      </c>
      <c r="CS338" s="165" t="s">
        <v>164</v>
      </c>
      <c r="CT338" s="165" t="s">
        <v>164</v>
      </c>
      <c r="CU338" s="165" t="s">
        <v>164</v>
      </c>
      <c r="CV338" s="165" t="s">
        <v>164</v>
      </c>
      <c r="CW338" s="185"/>
      <c r="CX338" s="185"/>
      <c r="CY338" s="185"/>
      <c r="CZ338" s="33"/>
      <c r="DA338" s="33" t="s">
        <v>164</v>
      </c>
      <c r="DB338" s="33" t="s">
        <v>164</v>
      </c>
      <c r="DC338" s="33" t="s">
        <v>164</v>
      </c>
      <c r="DD338" s="33" t="s">
        <v>164</v>
      </c>
      <c r="DE338" s="33" t="s">
        <v>164</v>
      </c>
      <c r="DF338" s="33" t="s">
        <v>164</v>
      </c>
      <c r="DG338" s="33" t="s">
        <v>164</v>
      </c>
      <c r="DH338" s="33" t="s">
        <v>164</v>
      </c>
      <c r="DI338" s="33" t="s">
        <v>164</v>
      </c>
      <c r="FA338" s="33"/>
      <c r="FB338" s="33"/>
      <c r="FC338" s="33"/>
      <c r="FD338" s="33"/>
      <c r="FE338" s="33"/>
      <c r="FF338" s="33"/>
      <c r="FG338" s="33"/>
      <c r="FH338" s="33"/>
      <c r="FI338" s="33"/>
      <c r="FJ338" s="33"/>
      <c r="FK338" s="33"/>
      <c r="FL338" s="33"/>
      <c r="FM338" s="33"/>
      <c r="FN338" s="33"/>
      <c r="FO338" s="33"/>
      <c r="FP338" s="33"/>
      <c r="FQ338" s="33"/>
      <c r="FR338" s="33"/>
      <c r="FS338" s="33"/>
      <c r="FT338" s="33"/>
      <c r="FU338" s="33"/>
      <c r="FV338" s="33"/>
      <c r="FW338" s="33"/>
      <c r="FX338" s="33"/>
      <c r="FY338" s="33"/>
      <c r="FZ338" s="33"/>
      <c r="GA338" s="33"/>
    </row>
    <row r="339" ht="15.75" customHeight="1">
      <c r="A339" s="20"/>
      <c r="B339" s="20"/>
      <c r="C339" s="165"/>
      <c r="D339" s="165"/>
      <c r="E339" s="165"/>
      <c r="F339" s="165"/>
      <c r="G339" s="165"/>
      <c r="H339" s="165"/>
      <c r="I339" s="165"/>
      <c r="J339" s="165" t="s">
        <v>628</v>
      </c>
      <c r="K339" s="87" t="s">
        <v>479</v>
      </c>
      <c r="L339" s="87"/>
      <c r="M339" s="87"/>
      <c r="N339" s="87" t="s">
        <v>479</v>
      </c>
      <c r="O339" s="177" t="s">
        <v>629</v>
      </c>
      <c r="P339" s="35"/>
      <c r="Q339" s="24" t="str">
        <f t="shared" si="24"/>
        <v>fine-grained, banded, light grey to grey/blue marble</v>
      </c>
      <c r="R339" s="35" t="s">
        <v>180</v>
      </c>
      <c r="S339" s="35" t="s">
        <v>630</v>
      </c>
      <c r="T339" s="35" t="s">
        <v>182</v>
      </c>
      <c r="U339" s="165" t="s">
        <v>189</v>
      </c>
      <c r="V339" s="165" t="s">
        <v>164</v>
      </c>
      <c r="W339" s="56" t="s">
        <v>190</v>
      </c>
      <c r="X339" s="35" t="s">
        <v>164</v>
      </c>
      <c r="Y339" s="35" t="s">
        <v>164</v>
      </c>
      <c r="Z339" s="35" t="s">
        <v>164</v>
      </c>
      <c r="AA339" s="165"/>
      <c r="AB339" s="165"/>
      <c r="AC339" s="165" t="s">
        <v>164</v>
      </c>
      <c r="AD339" s="165" t="s">
        <v>164</v>
      </c>
      <c r="AE339" s="171"/>
      <c r="AF339" s="165" t="s">
        <v>164</v>
      </c>
      <c r="AG339" s="165" t="s">
        <v>164</v>
      </c>
      <c r="AH339" s="165" t="s">
        <v>164</v>
      </c>
      <c r="AI339" s="165" t="s">
        <v>164</v>
      </c>
      <c r="AJ339" s="165" t="s">
        <v>164</v>
      </c>
      <c r="AK339" s="165" t="s">
        <v>164</v>
      </c>
      <c r="AL339" s="165" t="s">
        <v>164</v>
      </c>
      <c r="AM339" s="181"/>
      <c r="AN339" s="181"/>
      <c r="AO339" s="28">
        <f t="shared" si="25"/>
        <v>0</v>
      </c>
      <c r="AP339" s="181" t="s">
        <v>164</v>
      </c>
      <c r="AQ339" s="178"/>
      <c r="AR339" s="182" t="s">
        <v>164</v>
      </c>
      <c r="AS339" s="178"/>
      <c r="AT339" s="178" t="s">
        <v>164</v>
      </c>
      <c r="AU339" s="178"/>
      <c r="AV339" s="178"/>
      <c r="AW339" s="178"/>
      <c r="AX339" s="178"/>
      <c r="AY339" s="178"/>
      <c r="AZ339" s="178"/>
      <c r="BA339" s="178"/>
      <c r="BB339" s="178"/>
      <c r="BC339" s="178"/>
      <c r="BD339" s="178"/>
      <c r="BE339" s="165" t="s">
        <v>164</v>
      </c>
      <c r="BF339" s="165" t="s">
        <v>164</v>
      </c>
      <c r="BG339" s="165" t="s">
        <v>164</v>
      </c>
      <c r="BH339" s="165" t="s">
        <v>164</v>
      </c>
      <c r="BI339" s="179"/>
      <c r="BJ339" s="179" t="s">
        <v>164</v>
      </c>
      <c r="BK339" s="179"/>
      <c r="BL339" s="179" t="s">
        <v>164</v>
      </c>
      <c r="BM339" s="179"/>
      <c r="BN339" s="179" t="s">
        <v>164</v>
      </c>
      <c r="BO339" s="179"/>
      <c r="BP339" s="179"/>
      <c r="BQ339" s="179"/>
      <c r="BR339" s="179" t="s">
        <v>164</v>
      </c>
      <c r="BS339" s="179"/>
      <c r="BT339" s="179" t="s">
        <v>164</v>
      </c>
      <c r="BU339" s="179"/>
      <c r="BV339" s="179"/>
      <c r="BW339" s="179"/>
      <c r="BX339" s="179" t="s">
        <v>164</v>
      </c>
      <c r="BY339" s="179"/>
      <c r="BZ339" s="179" t="s">
        <v>164</v>
      </c>
      <c r="CA339" s="179"/>
      <c r="CB339" s="179" t="s">
        <v>164</v>
      </c>
      <c r="CC339" s="179"/>
      <c r="CD339" s="179" t="s">
        <v>164</v>
      </c>
      <c r="CE339" s="165" t="s">
        <v>585</v>
      </c>
      <c r="CF339" s="165" t="s">
        <v>164</v>
      </c>
      <c r="CG339" s="165" t="s">
        <v>164</v>
      </c>
      <c r="CH339" s="165" t="s">
        <v>164</v>
      </c>
      <c r="CI339" s="165" t="s">
        <v>164</v>
      </c>
      <c r="CJ339" s="165" t="s">
        <v>164</v>
      </c>
      <c r="CK339" s="165" t="s">
        <v>164</v>
      </c>
      <c r="CL339" s="165" t="s">
        <v>164</v>
      </c>
      <c r="CM339" s="165" t="s">
        <v>164</v>
      </c>
      <c r="CN339" s="165" t="s">
        <v>164</v>
      </c>
      <c r="CO339" s="165" t="s">
        <v>164</v>
      </c>
      <c r="CP339" s="165" t="s">
        <v>164</v>
      </c>
      <c r="CQ339" s="165" t="s">
        <v>164</v>
      </c>
      <c r="CR339" s="165" t="s">
        <v>164</v>
      </c>
      <c r="CS339" s="165" t="s">
        <v>164</v>
      </c>
      <c r="CT339" s="165" t="s">
        <v>164</v>
      </c>
      <c r="CU339" s="165" t="s">
        <v>164</v>
      </c>
      <c r="CV339" s="165" t="s">
        <v>164</v>
      </c>
      <c r="CW339" s="185"/>
      <c r="CX339" s="185"/>
      <c r="CY339" s="185"/>
      <c r="CZ339" s="33"/>
      <c r="DA339" s="186" t="s">
        <v>631</v>
      </c>
      <c r="DB339" s="186" t="s">
        <v>632</v>
      </c>
      <c r="DC339" s="186" t="s">
        <v>633</v>
      </c>
      <c r="DD339" s="186" t="s">
        <v>634</v>
      </c>
      <c r="DE339" s="186" t="s">
        <v>635</v>
      </c>
      <c r="DF339" s="33" t="s">
        <v>219</v>
      </c>
      <c r="DG339" s="33" t="s">
        <v>219</v>
      </c>
      <c r="DH339" s="186" t="s">
        <v>636</v>
      </c>
      <c r="DI339" s="186" t="s">
        <v>637</v>
      </c>
      <c r="DJ339" s="134"/>
      <c r="DK339" s="63"/>
      <c r="DL339" s="63"/>
      <c r="DM339" s="63"/>
      <c r="DN339" s="63"/>
      <c r="DO339" s="63"/>
      <c r="DP339" s="63"/>
      <c r="DQ339" s="63"/>
      <c r="DR339" s="63"/>
      <c r="DS339" s="63"/>
      <c r="DT339" s="63"/>
      <c r="DU339" s="63"/>
      <c r="DV339" s="63"/>
      <c r="DW339" s="63"/>
      <c r="DX339" s="63"/>
      <c r="DY339" s="63"/>
      <c r="DZ339" s="63"/>
      <c r="EA339" s="63"/>
      <c r="EB339" s="63"/>
      <c r="EC339" s="63"/>
      <c r="ED339" s="63"/>
      <c r="EE339" s="63"/>
      <c r="EF339" s="63"/>
      <c r="EG339" s="63"/>
      <c r="EH339" s="63"/>
      <c r="EI339" s="63"/>
      <c r="EJ339" s="63"/>
      <c r="EK339" s="63"/>
      <c r="EL339" s="63"/>
      <c r="EM339" s="63"/>
      <c r="EN339" s="63"/>
      <c r="EO339" s="63"/>
      <c r="EP339" s="63"/>
      <c r="EQ339" s="63"/>
      <c r="ER339" s="63"/>
      <c r="ES339" s="63"/>
      <c r="ET339" s="63"/>
      <c r="EU339" s="63"/>
      <c r="EV339" s="63"/>
      <c r="EW339" s="63"/>
      <c r="EX339" s="63"/>
      <c r="EY339" s="63"/>
      <c r="EZ339" s="33"/>
      <c r="FA339" s="33"/>
      <c r="FB339" s="33"/>
      <c r="FC339" s="33"/>
      <c r="FD339" s="33"/>
      <c r="FE339" s="33"/>
      <c r="FF339" s="33"/>
      <c r="FG339" s="33"/>
      <c r="FH339" s="33"/>
      <c r="FI339" s="33"/>
      <c r="FJ339" s="33"/>
      <c r="FK339" s="33"/>
      <c r="FL339" s="33"/>
      <c r="FM339" s="33"/>
      <c r="FN339" s="33"/>
      <c r="FO339" s="33"/>
      <c r="FP339" s="33"/>
      <c r="FQ339" s="33"/>
      <c r="FR339" s="33"/>
      <c r="FS339" s="33"/>
      <c r="FT339" s="33"/>
      <c r="FU339" s="33"/>
      <c r="FV339" s="33"/>
      <c r="FW339" s="33"/>
      <c r="FX339" s="33"/>
      <c r="FY339" s="33"/>
      <c r="FZ339" s="33"/>
      <c r="GA339" s="33"/>
    </row>
    <row r="340" ht="15.75" customHeight="1">
      <c r="A340" s="44"/>
      <c r="B340" s="24"/>
      <c r="C340" s="35"/>
      <c r="D340" s="35"/>
      <c r="E340" s="35"/>
      <c r="F340" s="35"/>
      <c r="G340" s="35"/>
      <c r="H340" s="35"/>
      <c r="I340" s="35"/>
      <c r="J340" s="35" t="s">
        <v>586</v>
      </c>
      <c r="K340" s="87" t="s">
        <v>638</v>
      </c>
      <c r="L340" s="87"/>
      <c r="M340" s="87"/>
      <c r="N340" s="87" t="s">
        <v>638</v>
      </c>
      <c r="O340" s="21" t="s">
        <v>639</v>
      </c>
      <c r="P340" s="35"/>
      <c r="Q340" s="24" t="str">
        <f t="shared" si="24"/>
        <v>-grained, homogeneous,  marble</v>
      </c>
      <c r="R340" s="35" t="s">
        <v>164</v>
      </c>
      <c r="S340" s="35" t="s">
        <v>164</v>
      </c>
      <c r="T340" s="35" t="s">
        <v>194</v>
      </c>
      <c r="U340" s="165" t="s">
        <v>164</v>
      </c>
      <c r="V340" s="165" t="s">
        <v>164</v>
      </c>
      <c r="W340" s="56" t="s">
        <v>190</v>
      </c>
      <c r="X340" s="35" t="s">
        <v>164</v>
      </c>
      <c r="Y340" s="35" t="s">
        <v>164</v>
      </c>
      <c r="Z340" s="35" t="s">
        <v>164</v>
      </c>
      <c r="AA340" s="165"/>
      <c r="AB340" s="165"/>
      <c r="AC340" s="165" t="s">
        <v>164</v>
      </c>
      <c r="AD340" s="165" t="s">
        <v>164</v>
      </c>
      <c r="AE340" s="171"/>
      <c r="AF340" s="165" t="s">
        <v>164</v>
      </c>
      <c r="AG340" s="165" t="s">
        <v>164</v>
      </c>
      <c r="AH340" s="165" t="s">
        <v>164</v>
      </c>
      <c r="AI340" s="165" t="s">
        <v>164</v>
      </c>
      <c r="AJ340" s="165" t="s">
        <v>164</v>
      </c>
      <c r="AK340" s="165" t="s">
        <v>164</v>
      </c>
      <c r="AL340" s="165" t="s">
        <v>164</v>
      </c>
      <c r="AM340" s="181"/>
      <c r="AN340" s="181"/>
      <c r="AO340" s="28">
        <f t="shared" si="25"/>
        <v>100</v>
      </c>
      <c r="AP340" s="181">
        <v>12.28</v>
      </c>
      <c r="AQ340" s="178"/>
      <c r="AR340" s="182">
        <v>87.72</v>
      </c>
      <c r="AS340" s="178"/>
      <c r="AT340" s="178" t="s">
        <v>164</v>
      </c>
      <c r="AU340" s="178"/>
      <c r="AV340" s="178"/>
      <c r="AW340" s="178"/>
      <c r="AX340" s="178"/>
      <c r="AY340" s="178"/>
      <c r="AZ340" s="178"/>
      <c r="BA340" s="178"/>
      <c r="BB340" s="178"/>
      <c r="BC340" s="178"/>
      <c r="BD340" s="178"/>
      <c r="BE340" s="165" t="s">
        <v>164</v>
      </c>
      <c r="BF340" s="165" t="s">
        <v>164</v>
      </c>
      <c r="BG340" s="165" t="s">
        <v>164</v>
      </c>
      <c r="BH340" s="165" t="s">
        <v>164</v>
      </c>
      <c r="BI340" s="179"/>
      <c r="BJ340" s="179" t="s">
        <v>164</v>
      </c>
      <c r="BK340" s="179"/>
      <c r="BL340" s="179" t="s">
        <v>164</v>
      </c>
      <c r="BM340" s="179"/>
      <c r="BN340" s="179" t="s">
        <v>164</v>
      </c>
      <c r="BO340" s="179"/>
      <c r="BP340" s="179"/>
      <c r="BQ340" s="179"/>
      <c r="BR340" s="179" t="s">
        <v>164</v>
      </c>
      <c r="BS340" s="179"/>
      <c r="BT340" s="179" t="s">
        <v>164</v>
      </c>
      <c r="BU340" s="179"/>
      <c r="BV340" s="179"/>
      <c r="BW340" s="179"/>
      <c r="BX340" s="179" t="s">
        <v>164</v>
      </c>
      <c r="BY340" s="179"/>
      <c r="BZ340" s="179" t="s">
        <v>164</v>
      </c>
      <c r="CA340" s="179"/>
      <c r="CB340" s="179" t="s">
        <v>164</v>
      </c>
      <c r="CC340" s="179"/>
      <c r="CD340" s="179" t="s">
        <v>164</v>
      </c>
      <c r="CE340" s="165" t="s">
        <v>600</v>
      </c>
      <c r="CF340" s="165" t="s">
        <v>164</v>
      </c>
      <c r="CG340" s="165" t="s">
        <v>164</v>
      </c>
      <c r="CH340" s="165" t="s">
        <v>164</v>
      </c>
      <c r="CI340" s="165" t="s">
        <v>164</v>
      </c>
      <c r="CJ340" s="165" t="s">
        <v>164</v>
      </c>
      <c r="CK340" s="165" t="s">
        <v>164</v>
      </c>
      <c r="CL340" s="165" t="s">
        <v>164</v>
      </c>
      <c r="CM340" s="165" t="s">
        <v>164</v>
      </c>
      <c r="CN340" s="165" t="s">
        <v>164</v>
      </c>
      <c r="CO340" s="165" t="s">
        <v>164</v>
      </c>
      <c r="CP340" s="165" t="s">
        <v>164</v>
      </c>
      <c r="CQ340" s="165" t="s">
        <v>164</v>
      </c>
      <c r="CR340" s="165" t="s">
        <v>164</v>
      </c>
      <c r="CS340" s="165" t="s">
        <v>164</v>
      </c>
      <c r="CT340" s="165" t="s">
        <v>164</v>
      </c>
      <c r="CU340" s="165" t="s">
        <v>164</v>
      </c>
      <c r="CV340" s="165" t="s">
        <v>164</v>
      </c>
      <c r="CW340" s="185"/>
      <c r="CX340" s="185"/>
      <c r="CY340" s="185"/>
      <c r="CZ340" s="33"/>
      <c r="DA340" s="33" t="s">
        <v>164</v>
      </c>
      <c r="DB340" s="33" t="s">
        <v>164</v>
      </c>
      <c r="DC340" s="33" t="s">
        <v>164</v>
      </c>
      <c r="DD340" s="33" t="s">
        <v>164</v>
      </c>
      <c r="DE340" s="33" t="s">
        <v>164</v>
      </c>
      <c r="DF340" s="33" t="s">
        <v>164</v>
      </c>
      <c r="DG340" s="33" t="s">
        <v>164</v>
      </c>
      <c r="DH340" s="33" t="s">
        <v>164</v>
      </c>
      <c r="DI340" s="33" t="s">
        <v>164</v>
      </c>
      <c r="FA340" s="33"/>
      <c r="FB340" s="33"/>
      <c r="FC340" s="33"/>
      <c r="FD340" s="33"/>
      <c r="FE340" s="33"/>
      <c r="FF340" s="33"/>
      <c r="FG340" s="33"/>
      <c r="FH340" s="33"/>
      <c r="FI340" s="33"/>
      <c r="FJ340" s="33"/>
      <c r="FK340" s="33"/>
      <c r="FL340" s="33"/>
      <c r="FM340" s="33"/>
      <c r="FN340" s="33"/>
      <c r="FO340" s="33"/>
      <c r="FP340" s="33"/>
      <c r="FQ340" s="33"/>
      <c r="FR340" s="33"/>
      <c r="FS340" s="33"/>
      <c r="FT340" s="33"/>
      <c r="FU340" s="33"/>
      <c r="FV340" s="33"/>
      <c r="FW340" s="33"/>
      <c r="FX340" s="33"/>
      <c r="FY340" s="33"/>
      <c r="FZ340" s="33"/>
      <c r="GA340" s="33"/>
    </row>
    <row r="341" ht="15.75" customHeight="1">
      <c r="A341" s="44"/>
      <c r="B341" s="24"/>
      <c r="C341" s="35"/>
      <c r="D341" s="35"/>
      <c r="E341" s="35"/>
      <c r="F341" s="35"/>
      <c r="G341" s="35"/>
      <c r="H341" s="35"/>
      <c r="I341" s="35"/>
      <c r="J341" s="35" t="s">
        <v>608</v>
      </c>
      <c r="K341" s="87" t="s">
        <v>203</v>
      </c>
      <c r="L341" s="87"/>
      <c r="M341" s="87"/>
      <c r="N341" s="87" t="s">
        <v>203</v>
      </c>
      <c r="O341" s="177" t="s">
        <v>640</v>
      </c>
      <c r="P341" s="35"/>
      <c r="Q341" s="24" t="str">
        <f t="shared" si="24"/>
        <v>fine-grained, homogeneous, white marble</v>
      </c>
      <c r="R341" s="35" t="s">
        <v>180</v>
      </c>
      <c r="S341" s="35" t="s">
        <v>189</v>
      </c>
      <c r="T341" s="35" t="s">
        <v>194</v>
      </c>
      <c r="U341" s="165" t="s">
        <v>164</v>
      </c>
      <c r="V341" s="165" t="s">
        <v>164</v>
      </c>
      <c r="W341" s="56" t="s">
        <v>190</v>
      </c>
      <c r="X341" s="35" t="s">
        <v>164</v>
      </c>
      <c r="Y341" s="35" t="s">
        <v>164</v>
      </c>
      <c r="Z341" s="35" t="s">
        <v>164</v>
      </c>
      <c r="AA341" s="35"/>
      <c r="AB341" s="35"/>
      <c r="AC341" s="35"/>
      <c r="AD341" s="165" t="s">
        <v>164</v>
      </c>
      <c r="AE341" s="171"/>
      <c r="AF341" s="165" t="s">
        <v>164</v>
      </c>
      <c r="AG341" s="165" t="s">
        <v>164</v>
      </c>
      <c r="AH341" s="165" t="s">
        <v>164</v>
      </c>
      <c r="AI341" s="165" t="s">
        <v>164</v>
      </c>
      <c r="AJ341" s="165" t="s">
        <v>164</v>
      </c>
      <c r="AK341" s="165" t="s">
        <v>164</v>
      </c>
      <c r="AL341" s="165" t="s">
        <v>164</v>
      </c>
      <c r="AM341" s="181"/>
      <c r="AN341" s="181"/>
      <c r="AO341" s="28">
        <f t="shared" si="25"/>
        <v>0</v>
      </c>
      <c r="AP341" s="181" t="s">
        <v>164</v>
      </c>
      <c r="AQ341" s="178"/>
      <c r="AR341" s="182" t="s">
        <v>164</v>
      </c>
      <c r="AS341" s="178"/>
      <c r="AT341" s="178" t="s">
        <v>164</v>
      </c>
      <c r="AU341" s="178"/>
      <c r="AV341" s="178"/>
      <c r="AW341" s="178"/>
      <c r="AX341" s="178"/>
      <c r="AY341" s="178"/>
      <c r="AZ341" s="178"/>
      <c r="BA341" s="178"/>
      <c r="BB341" s="178"/>
      <c r="BC341" s="178"/>
      <c r="BD341" s="178"/>
      <c r="BE341" s="165" t="s">
        <v>164</v>
      </c>
      <c r="BF341" s="165" t="s">
        <v>164</v>
      </c>
      <c r="BG341" s="165" t="s">
        <v>164</v>
      </c>
      <c r="BH341" s="165" t="s">
        <v>164</v>
      </c>
      <c r="BI341" s="179"/>
      <c r="BJ341" s="179" t="s">
        <v>164</v>
      </c>
      <c r="BK341" s="179"/>
      <c r="BL341" s="179" t="s">
        <v>164</v>
      </c>
      <c r="BM341" s="179"/>
      <c r="BN341" s="179"/>
      <c r="BO341" s="179"/>
      <c r="BP341" s="179"/>
      <c r="BQ341" s="179"/>
      <c r="BR341" s="179"/>
      <c r="BS341" s="179"/>
      <c r="BT341" s="179" t="s">
        <v>164</v>
      </c>
      <c r="BU341" s="179"/>
      <c r="BV341" s="179"/>
      <c r="BW341" s="179"/>
      <c r="BX341" s="179" t="s">
        <v>164</v>
      </c>
      <c r="BY341" s="179"/>
      <c r="BZ341" s="179" t="s">
        <v>164</v>
      </c>
      <c r="CA341" s="179"/>
      <c r="CB341" s="179" t="s">
        <v>164</v>
      </c>
      <c r="CC341" s="179"/>
      <c r="CD341" s="179" t="s">
        <v>164</v>
      </c>
      <c r="CE341" s="165" t="s">
        <v>164</v>
      </c>
      <c r="CF341" s="165" t="s">
        <v>164</v>
      </c>
      <c r="CG341" s="165" t="s">
        <v>164</v>
      </c>
      <c r="CH341" s="165" t="s">
        <v>164</v>
      </c>
      <c r="CI341" s="165" t="s">
        <v>164</v>
      </c>
      <c r="CJ341" s="165" t="s">
        <v>164</v>
      </c>
      <c r="CK341" s="165" t="s">
        <v>164</v>
      </c>
      <c r="CL341" s="165" t="s">
        <v>164</v>
      </c>
      <c r="CM341" s="165" t="s">
        <v>164</v>
      </c>
      <c r="CN341" s="165" t="s">
        <v>164</v>
      </c>
      <c r="CO341" s="165" t="s">
        <v>164</v>
      </c>
      <c r="CP341" s="165" t="s">
        <v>164</v>
      </c>
      <c r="CQ341" s="165" t="s">
        <v>164</v>
      </c>
      <c r="CR341" s="165" t="s">
        <v>164</v>
      </c>
      <c r="CS341" s="165" t="s">
        <v>164</v>
      </c>
      <c r="CT341" s="165" t="s">
        <v>164</v>
      </c>
      <c r="CU341" s="165" t="s">
        <v>164</v>
      </c>
      <c r="CV341" s="165" t="s">
        <v>164</v>
      </c>
      <c r="CW341" s="185"/>
      <c r="CX341" s="185"/>
      <c r="CY341" s="185"/>
      <c r="CZ341" s="33"/>
      <c r="DA341" s="33" t="s">
        <v>164</v>
      </c>
      <c r="DB341" s="33" t="s">
        <v>164</v>
      </c>
      <c r="DC341" s="33" t="s">
        <v>164</v>
      </c>
      <c r="DD341" s="33" t="s">
        <v>164</v>
      </c>
      <c r="DE341" s="33" t="s">
        <v>164</v>
      </c>
      <c r="DF341" s="33" t="s">
        <v>164</v>
      </c>
      <c r="DG341" s="33" t="s">
        <v>164</v>
      </c>
      <c r="DH341" s="33" t="s">
        <v>164</v>
      </c>
      <c r="DI341" s="33" t="s">
        <v>164</v>
      </c>
      <c r="FA341" s="33"/>
      <c r="FB341" s="33"/>
      <c r="FC341" s="33"/>
      <c r="FD341" s="33"/>
      <c r="FE341" s="33"/>
      <c r="FF341" s="33"/>
      <c r="FG341" s="33"/>
      <c r="FH341" s="33"/>
      <c r="FI341" s="33"/>
      <c r="FJ341" s="33"/>
      <c r="FK341" s="33"/>
      <c r="FL341" s="33"/>
      <c r="FM341" s="33"/>
      <c r="FN341" s="33"/>
      <c r="FO341" s="33"/>
      <c r="FP341" s="33"/>
      <c r="FQ341" s="33"/>
      <c r="FR341" s="33"/>
      <c r="FS341" s="33"/>
      <c r="FT341" s="33"/>
      <c r="FU341" s="33"/>
      <c r="FV341" s="33"/>
      <c r="FW341" s="33"/>
      <c r="FX341" s="33"/>
      <c r="FY341" s="33"/>
      <c r="FZ341" s="33"/>
      <c r="GA341" s="33"/>
    </row>
    <row r="342" ht="15.75" customHeight="1">
      <c r="B342" s="35"/>
      <c r="C342" s="35"/>
      <c r="D342" s="35"/>
      <c r="E342" s="35"/>
      <c r="F342" s="35"/>
      <c r="G342" s="35"/>
      <c r="H342" s="35"/>
      <c r="I342" s="35"/>
      <c r="J342" s="35" t="s">
        <v>608</v>
      </c>
      <c r="K342" s="87" t="s">
        <v>203</v>
      </c>
      <c r="L342" s="87"/>
      <c r="M342" s="87"/>
      <c r="N342" s="87" t="s">
        <v>203</v>
      </c>
      <c r="O342" s="177" t="s">
        <v>640</v>
      </c>
      <c r="P342" s="35"/>
      <c r="Q342" s="24" t="str">
        <f t="shared" si="24"/>
        <v>medium to coarse-grained, homogeneous, greyish marble</v>
      </c>
      <c r="R342" s="35" t="s">
        <v>610</v>
      </c>
      <c r="S342" s="35" t="s">
        <v>641</v>
      </c>
      <c r="T342" s="35" t="s">
        <v>194</v>
      </c>
      <c r="U342" s="165" t="s">
        <v>164</v>
      </c>
      <c r="V342" s="165" t="s">
        <v>164</v>
      </c>
      <c r="W342" s="56" t="s">
        <v>190</v>
      </c>
      <c r="X342" s="35" t="s">
        <v>164</v>
      </c>
      <c r="Y342" s="35" t="s">
        <v>164</v>
      </c>
      <c r="Z342" s="35" t="s">
        <v>164</v>
      </c>
      <c r="AA342" s="35"/>
      <c r="AB342" s="35"/>
      <c r="AC342" s="35"/>
      <c r="AD342" s="165" t="s">
        <v>164</v>
      </c>
      <c r="AE342" s="171"/>
      <c r="AF342" s="165" t="s">
        <v>164</v>
      </c>
      <c r="AG342" s="165" t="s">
        <v>164</v>
      </c>
      <c r="AH342" s="165" t="s">
        <v>164</v>
      </c>
      <c r="AI342" s="165" t="s">
        <v>164</v>
      </c>
      <c r="AJ342" s="165" t="s">
        <v>164</v>
      </c>
      <c r="AK342" s="165" t="s">
        <v>164</v>
      </c>
      <c r="AL342" s="165" t="s">
        <v>164</v>
      </c>
      <c r="AM342" s="181"/>
      <c r="AN342" s="181"/>
      <c r="AO342" s="28">
        <f t="shared" si="25"/>
        <v>0</v>
      </c>
      <c r="AP342" s="181" t="s">
        <v>164</v>
      </c>
      <c r="AQ342" s="178"/>
      <c r="AR342" s="178" t="s">
        <v>164</v>
      </c>
      <c r="AS342" s="178"/>
      <c r="AT342" s="178"/>
      <c r="AU342" s="178"/>
      <c r="AV342" s="178"/>
      <c r="AW342" s="178"/>
      <c r="AX342" s="178"/>
      <c r="AY342" s="178"/>
      <c r="AZ342" s="178"/>
      <c r="BA342" s="178"/>
      <c r="BB342" s="178"/>
      <c r="BC342" s="178"/>
      <c r="BD342" s="178"/>
      <c r="BE342" s="165" t="s">
        <v>164</v>
      </c>
      <c r="BF342" s="165" t="s">
        <v>164</v>
      </c>
      <c r="BG342" s="165" t="s">
        <v>164</v>
      </c>
      <c r="BH342" s="165" t="s">
        <v>164</v>
      </c>
      <c r="BI342" s="179"/>
      <c r="BJ342" s="179" t="s">
        <v>164</v>
      </c>
      <c r="BK342" s="179"/>
      <c r="BL342" s="179" t="s">
        <v>164</v>
      </c>
      <c r="BM342" s="179"/>
      <c r="BN342" s="179"/>
      <c r="BO342" s="179"/>
      <c r="BP342" s="179"/>
      <c r="BQ342" s="179"/>
      <c r="BR342" s="179"/>
      <c r="BS342" s="179"/>
      <c r="BT342" s="179" t="s">
        <v>164</v>
      </c>
      <c r="BU342" s="179"/>
      <c r="BV342" s="179"/>
      <c r="BW342" s="179"/>
      <c r="BX342" s="179" t="s">
        <v>164</v>
      </c>
      <c r="BY342" s="179"/>
      <c r="BZ342" s="179" t="s">
        <v>164</v>
      </c>
      <c r="CA342" s="179"/>
      <c r="CB342" s="179" t="s">
        <v>164</v>
      </c>
      <c r="CC342" s="179"/>
      <c r="CD342" s="179" t="s">
        <v>164</v>
      </c>
      <c r="CE342" s="165" t="s">
        <v>164</v>
      </c>
      <c r="CF342" s="165" t="s">
        <v>164</v>
      </c>
      <c r="CG342" s="165" t="s">
        <v>164</v>
      </c>
      <c r="CH342" s="165" t="s">
        <v>164</v>
      </c>
      <c r="CI342" s="165" t="s">
        <v>164</v>
      </c>
      <c r="CJ342" s="165" t="s">
        <v>164</v>
      </c>
      <c r="CK342" s="165" t="s">
        <v>164</v>
      </c>
      <c r="CL342" s="165" t="s">
        <v>164</v>
      </c>
      <c r="CM342" s="165" t="s">
        <v>164</v>
      </c>
      <c r="CN342" s="165" t="s">
        <v>164</v>
      </c>
      <c r="CO342" s="165" t="s">
        <v>164</v>
      </c>
      <c r="CP342" s="165" t="s">
        <v>164</v>
      </c>
      <c r="CQ342" s="165" t="s">
        <v>164</v>
      </c>
      <c r="CR342" s="165" t="s">
        <v>164</v>
      </c>
      <c r="CS342" s="165" t="s">
        <v>164</v>
      </c>
      <c r="CT342" s="165" t="s">
        <v>164</v>
      </c>
      <c r="CU342" s="165" t="s">
        <v>164</v>
      </c>
      <c r="CV342" s="165" t="s">
        <v>164</v>
      </c>
      <c r="CW342" s="185"/>
      <c r="CX342" s="185"/>
      <c r="CY342" s="185"/>
      <c r="CZ342" s="33"/>
      <c r="DA342" s="33" t="s">
        <v>164</v>
      </c>
      <c r="DB342" s="33" t="s">
        <v>164</v>
      </c>
      <c r="DC342" s="33" t="s">
        <v>164</v>
      </c>
      <c r="DD342" s="33" t="s">
        <v>164</v>
      </c>
      <c r="DE342" s="33" t="s">
        <v>164</v>
      </c>
      <c r="DF342" s="33" t="s">
        <v>164</v>
      </c>
      <c r="DG342" s="33" t="s">
        <v>164</v>
      </c>
      <c r="DH342" s="33" t="s">
        <v>164</v>
      </c>
      <c r="DI342" s="33" t="s">
        <v>164</v>
      </c>
      <c r="FA342" s="33"/>
      <c r="FB342" s="33"/>
      <c r="FC342" s="33"/>
      <c r="FD342" s="33"/>
      <c r="FE342" s="33"/>
      <c r="FF342" s="33"/>
      <c r="FG342" s="33"/>
      <c r="FH342" s="33"/>
      <c r="FI342" s="33"/>
      <c r="FJ342" s="33"/>
      <c r="FK342" s="33"/>
      <c r="FL342" s="33"/>
      <c r="FM342" s="33"/>
      <c r="FN342" s="33"/>
      <c r="FO342" s="33"/>
      <c r="FP342" s="33"/>
      <c r="FQ342" s="33"/>
      <c r="FR342" s="33"/>
      <c r="FS342" s="33"/>
      <c r="FT342" s="33"/>
      <c r="FU342" s="33"/>
      <c r="FV342" s="33"/>
      <c r="FW342" s="33"/>
      <c r="FX342" s="33"/>
      <c r="FY342" s="33"/>
      <c r="FZ342" s="33"/>
      <c r="GA342" s="33"/>
    </row>
    <row r="343" ht="15.75" customHeight="1">
      <c r="B343" s="35"/>
      <c r="C343" s="35"/>
      <c r="D343" s="35"/>
      <c r="E343" s="35"/>
      <c r="F343" s="35"/>
      <c r="G343" s="35"/>
      <c r="H343" s="35"/>
      <c r="I343" s="35"/>
      <c r="J343" s="35" t="s">
        <v>608</v>
      </c>
      <c r="K343" s="87" t="s">
        <v>203</v>
      </c>
      <c r="L343" s="87"/>
      <c r="M343" s="87"/>
      <c r="N343" s="87" t="s">
        <v>203</v>
      </c>
      <c r="O343" s="177" t="s">
        <v>640</v>
      </c>
      <c r="P343" s="35"/>
      <c r="Q343" s="24" t="str">
        <f t="shared" si="24"/>
        <v>medium to coarse-grained, homogeneous, greyish, white to greyish marble</v>
      </c>
      <c r="R343" s="35" t="s">
        <v>610</v>
      </c>
      <c r="S343" s="35" t="s">
        <v>642</v>
      </c>
      <c r="T343" s="35" t="s">
        <v>194</v>
      </c>
      <c r="U343" s="165" t="s">
        <v>164</v>
      </c>
      <c r="V343" s="165" t="s">
        <v>164</v>
      </c>
      <c r="W343" s="56" t="s">
        <v>190</v>
      </c>
      <c r="X343" s="35" t="s">
        <v>164</v>
      </c>
      <c r="Y343" s="35" t="s">
        <v>164</v>
      </c>
      <c r="Z343" s="35" t="s">
        <v>164</v>
      </c>
      <c r="AA343" s="35"/>
      <c r="AB343" s="35"/>
      <c r="AC343" s="35"/>
      <c r="AD343" s="165" t="s">
        <v>164</v>
      </c>
      <c r="AE343" s="171"/>
      <c r="AF343" s="165" t="s">
        <v>164</v>
      </c>
      <c r="AG343" s="165" t="s">
        <v>164</v>
      </c>
      <c r="AH343" s="165" t="s">
        <v>164</v>
      </c>
      <c r="AI343" s="165" t="s">
        <v>164</v>
      </c>
      <c r="AJ343" s="165" t="s">
        <v>164</v>
      </c>
      <c r="AK343" s="165" t="s">
        <v>164</v>
      </c>
      <c r="AL343" s="165" t="s">
        <v>164</v>
      </c>
      <c r="AM343" s="181"/>
      <c r="AN343" s="181"/>
      <c r="AO343" s="28">
        <f t="shared" si="25"/>
        <v>0</v>
      </c>
      <c r="AP343" s="181" t="s">
        <v>164</v>
      </c>
      <c r="AQ343" s="178"/>
      <c r="AR343" s="178" t="s">
        <v>164</v>
      </c>
      <c r="AS343" s="178"/>
      <c r="AT343" s="178"/>
      <c r="AU343" s="178"/>
      <c r="AV343" s="178"/>
      <c r="AW343" s="178"/>
      <c r="AX343" s="178"/>
      <c r="AY343" s="178"/>
      <c r="AZ343" s="178"/>
      <c r="BA343" s="178"/>
      <c r="BB343" s="178"/>
      <c r="BC343" s="178"/>
      <c r="BD343" s="178"/>
      <c r="BE343" s="165" t="s">
        <v>164</v>
      </c>
      <c r="BF343" s="165" t="s">
        <v>164</v>
      </c>
      <c r="BG343" s="165" t="s">
        <v>164</v>
      </c>
      <c r="BH343" s="165" t="s">
        <v>164</v>
      </c>
      <c r="BI343" s="179"/>
      <c r="BJ343" s="179" t="s">
        <v>164</v>
      </c>
      <c r="BK343" s="179"/>
      <c r="BL343" s="179" t="s">
        <v>164</v>
      </c>
      <c r="BM343" s="179"/>
      <c r="BN343" s="179" t="s">
        <v>164</v>
      </c>
      <c r="BO343" s="179"/>
      <c r="BP343" s="179"/>
      <c r="BQ343" s="179"/>
      <c r="BR343" s="179" t="s">
        <v>164</v>
      </c>
      <c r="BS343" s="179"/>
      <c r="BT343" s="179" t="s">
        <v>164</v>
      </c>
      <c r="BU343" s="179"/>
      <c r="BV343" s="179"/>
      <c r="BW343" s="179"/>
      <c r="BX343" s="179" t="s">
        <v>164</v>
      </c>
      <c r="BY343" s="179"/>
      <c r="BZ343" s="179" t="s">
        <v>164</v>
      </c>
      <c r="CA343" s="179"/>
      <c r="CB343" s="179" t="s">
        <v>164</v>
      </c>
      <c r="CC343" s="179"/>
      <c r="CD343" s="179" t="s">
        <v>164</v>
      </c>
      <c r="CE343" s="165" t="s">
        <v>164</v>
      </c>
      <c r="CF343" s="165" t="s">
        <v>164</v>
      </c>
      <c r="CG343" s="165" t="s">
        <v>164</v>
      </c>
      <c r="CH343" s="165" t="s">
        <v>164</v>
      </c>
      <c r="CI343" s="165" t="s">
        <v>164</v>
      </c>
      <c r="CJ343" s="165" t="s">
        <v>164</v>
      </c>
      <c r="CK343" s="165" t="s">
        <v>164</v>
      </c>
      <c r="CL343" s="165" t="s">
        <v>164</v>
      </c>
      <c r="CM343" s="165" t="s">
        <v>164</v>
      </c>
      <c r="CN343" s="165" t="s">
        <v>164</v>
      </c>
      <c r="CO343" s="165" t="s">
        <v>164</v>
      </c>
      <c r="CP343" s="165" t="s">
        <v>164</v>
      </c>
      <c r="CQ343" s="165" t="s">
        <v>164</v>
      </c>
      <c r="CR343" s="165" t="s">
        <v>164</v>
      </c>
      <c r="CS343" s="165" t="s">
        <v>164</v>
      </c>
      <c r="CT343" s="165" t="s">
        <v>164</v>
      </c>
      <c r="CU343" s="165" t="s">
        <v>164</v>
      </c>
      <c r="CV343" s="165" t="s">
        <v>164</v>
      </c>
      <c r="CW343" s="185"/>
      <c r="CX343" s="185"/>
      <c r="CY343" s="185"/>
      <c r="CZ343" s="33"/>
      <c r="DA343" s="33" t="s">
        <v>164</v>
      </c>
      <c r="DB343" s="33" t="s">
        <v>164</v>
      </c>
      <c r="DC343" s="33" t="s">
        <v>164</v>
      </c>
      <c r="DD343" s="33" t="s">
        <v>164</v>
      </c>
      <c r="DE343" s="33" t="s">
        <v>164</v>
      </c>
      <c r="DF343" s="33" t="s">
        <v>164</v>
      </c>
      <c r="DG343" s="33" t="s">
        <v>164</v>
      </c>
      <c r="DH343" s="33" t="s">
        <v>164</v>
      </c>
      <c r="DI343" s="33" t="s">
        <v>164</v>
      </c>
      <c r="FA343" s="33"/>
      <c r="FB343" s="33"/>
      <c r="FC343" s="33"/>
      <c r="FD343" s="33"/>
      <c r="FE343" s="33"/>
      <c r="FF343" s="33"/>
      <c r="FG343" s="33"/>
      <c r="FH343" s="33"/>
      <c r="FI343" s="33"/>
      <c r="FJ343" s="33"/>
      <c r="FK343" s="33"/>
      <c r="FL343" s="33"/>
      <c r="FM343" s="33"/>
      <c r="FN343" s="33"/>
      <c r="FO343" s="33"/>
      <c r="FP343" s="33"/>
      <c r="FQ343" s="33"/>
      <c r="FR343" s="33"/>
      <c r="FS343" s="33"/>
      <c r="FT343" s="33"/>
      <c r="FU343" s="33"/>
      <c r="FV343" s="33"/>
      <c r="FW343" s="33"/>
      <c r="FX343" s="33"/>
      <c r="FY343" s="33"/>
      <c r="FZ343" s="33"/>
      <c r="GA343" s="33"/>
    </row>
    <row r="344" ht="15.75" customHeight="1">
      <c r="A344" s="86"/>
      <c r="B344" s="86"/>
      <c r="C344" s="35"/>
      <c r="D344" s="35"/>
      <c r="E344" s="35"/>
      <c r="F344" s="35"/>
      <c r="G344" s="35"/>
      <c r="H344" s="35"/>
      <c r="I344" s="35"/>
      <c r="J344" s="56" t="s">
        <v>643</v>
      </c>
      <c r="K344" s="187" t="s">
        <v>592</v>
      </c>
      <c r="L344" s="187"/>
      <c r="M344" s="187"/>
      <c r="N344" s="187" t="s">
        <v>592</v>
      </c>
      <c r="O344" s="21" t="s">
        <v>644</v>
      </c>
      <c r="P344" s="35"/>
      <c r="Q344" s="24" t="str">
        <f t="shared" si="24"/>
        <v>fine-grained, banded and veined, white marble</v>
      </c>
      <c r="R344" s="35" t="s">
        <v>180</v>
      </c>
      <c r="S344" s="35" t="s">
        <v>189</v>
      </c>
      <c r="T344" s="35" t="s">
        <v>243</v>
      </c>
      <c r="U344" s="165" t="s">
        <v>244</v>
      </c>
      <c r="V344" s="165" t="s">
        <v>164</v>
      </c>
      <c r="W344" s="56" t="s">
        <v>190</v>
      </c>
      <c r="X344" s="35" t="s">
        <v>164</v>
      </c>
      <c r="Y344" s="35" t="s">
        <v>164</v>
      </c>
      <c r="Z344" s="35" t="s">
        <v>164</v>
      </c>
      <c r="AA344" s="165"/>
      <c r="AB344" s="165"/>
      <c r="AC344" s="165" t="s">
        <v>164</v>
      </c>
      <c r="AD344" s="56" t="s">
        <v>196</v>
      </c>
      <c r="AE344" s="166" t="s">
        <v>184</v>
      </c>
      <c r="AF344" s="56" t="s">
        <v>645</v>
      </c>
      <c r="AG344" s="56" t="s">
        <v>166</v>
      </c>
      <c r="AH344" s="165" t="s">
        <v>164</v>
      </c>
      <c r="AI344" s="165" t="s">
        <v>164</v>
      </c>
      <c r="AJ344" s="165" t="s">
        <v>164</v>
      </c>
      <c r="AK344" s="165" t="s">
        <v>164</v>
      </c>
      <c r="AL344" s="165" t="s">
        <v>164</v>
      </c>
      <c r="AM344" s="181"/>
      <c r="AN344" s="181"/>
      <c r="AO344" s="28">
        <f t="shared" si="25"/>
        <v>0</v>
      </c>
      <c r="AP344" s="181" t="s">
        <v>164</v>
      </c>
      <c r="AQ344" s="182" t="s">
        <v>164</v>
      </c>
      <c r="AR344" s="178" t="s">
        <v>164</v>
      </c>
      <c r="AS344" s="178"/>
      <c r="AT344" s="178"/>
      <c r="AU344" s="178"/>
      <c r="AV344" s="178"/>
      <c r="AW344" s="178"/>
      <c r="AX344" s="178"/>
      <c r="AY344" s="178"/>
      <c r="AZ344" s="178"/>
      <c r="BA344" s="178"/>
      <c r="BB344" s="178"/>
      <c r="BC344" s="178"/>
      <c r="BD344" s="178"/>
      <c r="BE344" s="165" t="s">
        <v>164</v>
      </c>
      <c r="BF344" s="165" t="s">
        <v>164</v>
      </c>
      <c r="BG344" s="165" t="s">
        <v>164</v>
      </c>
      <c r="BH344" s="165" t="s">
        <v>164</v>
      </c>
      <c r="BI344" s="179"/>
      <c r="BJ344" s="179" t="s">
        <v>164</v>
      </c>
      <c r="BK344" s="179"/>
      <c r="BL344" s="179" t="s">
        <v>164</v>
      </c>
      <c r="BM344" s="179"/>
      <c r="BN344" s="179" t="s">
        <v>164</v>
      </c>
      <c r="BO344" s="179"/>
      <c r="BP344" s="179"/>
      <c r="BQ344" s="179"/>
      <c r="BR344" s="179" t="s">
        <v>164</v>
      </c>
      <c r="BS344" s="179"/>
      <c r="BT344" s="179" t="s">
        <v>164</v>
      </c>
      <c r="BU344" s="179"/>
      <c r="BV344" s="179"/>
      <c r="BW344" s="179"/>
      <c r="BX344" s="179" t="s">
        <v>164</v>
      </c>
      <c r="BY344" s="179"/>
      <c r="BZ344" s="179" t="s">
        <v>164</v>
      </c>
      <c r="CA344" s="179"/>
      <c r="CB344" s="179" t="s">
        <v>164</v>
      </c>
      <c r="CC344" s="179"/>
      <c r="CD344" s="179" t="s">
        <v>164</v>
      </c>
      <c r="CE344" s="165" t="s">
        <v>164</v>
      </c>
      <c r="CF344" s="165" t="s">
        <v>164</v>
      </c>
      <c r="CG344" s="165" t="s">
        <v>164</v>
      </c>
      <c r="CH344" s="165" t="s">
        <v>164</v>
      </c>
      <c r="CI344" s="165" t="s">
        <v>164</v>
      </c>
      <c r="CJ344" s="165" t="s">
        <v>164</v>
      </c>
      <c r="CK344" s="165" t="s">
        <v>164</v>
      </c>
      <c r="CL344" s="165" t="s">
        <v>164</v>
      </c>
      <c r="CM344" s="165" t="s">
        <v>164</v>
      </c>
      <c r="CN344" s="165" t="s">
        <v>164</v>
      </c>
      <c r="CO344" s="165" t="s">
        <v>164</v>
      </c>
      <c r="CP344" s="165" t="s">
        <v>164</v>
      </c>
      <c r="CQ344" s="165" t="s">
        <v>164</v>
      </c>
      <c r="CR344" s="165" t="s">
        <v>164</v>
      </c>
      <c r="CS344" s="165" t="s">
        <v>164</v>
      </c>
      <c r="CT344" s="165" t="s">
        <v>164</v>
      </c>
      <c r="CU344" s="165" t="s">
        <v>164</v>
      </c>
      <c r="CV344" s="165" t="s">
        <v>164</v>
      </c>
      <c r="CW344" s="185"/>
      <c r="CX344" s="185"/>
      <c r="CY344" s="185"/>
      <c r="CZ344" s="33"/>
      <c r="DA344" s="33" t="s">
        <v>164</v>
      </c>
      <c r="DB344" s="33" t="s">
        <v>164</v>
      </c>
      <c r="DC344" s="33" t="s">
        <v>164</v>
      </c>
      <c r="DD344" s="33" t="s">
        <v>164</v>
      </c>
      <c r="DE344" s="33" t="s">
        <v>164</v>
      </c>
      <c r="DF344" s="33" t="s">
        <v>164</v>
      </c>
      <c r="DG344" s="33" t="s">
        <v>164</v>
      </c>
      <c r="DH344" s="33" t="s">
        <v>164</v>
      </c>
      <c r="DI344" s="33" t="s">
        <v>164</v>
      </c>
      <c r="DJ344" s="134"/>
      <c r="DK344" s="63"/>
      <c r="DL344" s="63"/>
      <c r="DM344" s="63"/>
      <c r="DN344" s="63"/>
      <c r="DO344" s="63"/>
      <c r="DP344" s="63"/>
      <c r="DQ344" s="63"/>
      <c r="DR344" s="63"/>
      <c r="DS344" s="63"/>
      <c r="DT344" s="63"/>
      <c r="DU344" s="63"/>
      <c r="DV344" s="63"/>
      <c r="DW344" s="63"/>
      <c r="DX344" s="63"/>
      <c r="DY344" s="63"/>
      <c r="DZ344" s="63"/>
      <c r="EA344" s="63"/>
      <c r="EB344" s="63"/>
      <c r="EC344" s="63"/>
      <c r="ED344" s="63"/>
      <c r="EE344" s="63"/>
      <c r="EF344" s="63"/>
      <c r="EG344" s="63"/>
      <c r="EH344" s="63"/>
      <c r="EI344" s="63"/>
      <c r="EJ344" s="63"/>
      <c r="EK344" s="63"/>
      <c r="EL344" s="63"/>
      <c r="EM344" s="63"/>
      <c r="EN344" s="63"/>
      <c r="EO344" s="63"/>
      <c r="EP344" s="63"/>
      <c r="EQ344" s="63"/>
      <c r="ER344" s="63"/>
      <c r="ES344" s="63"/>
      <c r="ET344" s="63"/>
      <c r="EU344" s="63"/>
      <c r="EV344" s="63"/>
      <c r="EW344" s="63"/>
      <c r="EX344" s="63"/>
      <c r="EY344" s="63"/>
      <c r="EZ344" s="33"/>
      <c r="FA344" s="33"/>
      <c r="FB344" s="33"/>
      <c r="FC344" s="33"/>
      <c r="FD344" s="33"/>
      <c r="FE344" s="33"/>
      <c r="FF344" s="33"/>
      <c r="FG344" s="33"/>
      <c r="FH344" s="33"/>
      <c r="FI344" s="33"/>
      <c r="FJ344" s="33"/>
      <c r="FK344" s="33"/>
      <c r="FL344" s="33"/>
      <c r="FM344" s="33"/>
      <c r="FN344" s="33"/>
      <c r="FO344" s="33"/>
      <c r="FP344" s="33"/>
      <c r="FQ344" s="33"/>
      <c r="FR344" s="33"/>
      <c r="FS344" s="33"/>
      <c r="FT344" s="33"/>
      <c r="FU344" s="33"/>
      <c r="FV344" s="33"/>
      <c r="FW344" s="33"/>
      <c r="FX344" s="33"/>
      <c r="FY344" s="33"/>
      <c r="FZ344" s="33"/>
      <c r="GA344" s="33"/>
    </row>
    <row r="345" ht="15.75" customHeight="1">
      <c r="A345" s="86"/>
      <c r="B345" s="86"/>
      <c r="C345" s="165"/>
      <c r="D345" s="165"/>
      <c r="E345" s="165"/>
      <c r="F345" s="165"/>
      <c r="G345" s="165"/>
      <c r="H345" s="165"/>
      <c r="I345" s="165"/>
      <c r="J345" s="165" t="s">
        <v>581</v>
      </c>
      <c r="K345" s="87" t="s">
        <v>479</v>
      </c>
      <c r="L345" s="87"/>
      <c r="M345" s="87"/>
      <c r="N345" s="87" t="s">
        <v>479</v>
      </c>
      <c r="O345" s="180" t="s">
        <v>646</v>
      </c>
      <c r="P345" s="35"/>
      <c r="Q345" s="35" t="str">
        <f t="shared" si="24"/>
        <v>fine-grained, homogeneous,  marble</v>
      </c>
      <c r="R345" s="35" t="s">
        <v>180</v>
      </c>
      <c r="S345" s="35" t="s">
        <v>164</v>
      </c>
      <c r="T345" s="35" t="s">
        <v>194</v>
      </c>
      <c r="U345" s="165" t="s">
        <v>164</v>
      </c>
      <c r="V345" s="165" t="s">
        <v>164</v>
      </c>
      <c r="W345" s="56" t="s">
        <v>190</v>
      </c>
      <c r="X345" s="35" t="s">
        <v>164</v>
      </c>
      <c r="Y345" s="35" t="s">
        <v>164</v>
      </c>
      <c r="Z345" s="35" t="s">
        <v>164</v>
      </c>
      <c r="AA345" s="165"/>
      <c r="AB345" s="165"/>
      <c r="AC345" s="86" t="s">
        <v>166</v>
      </c>
      <c r="AD345" s="56" t="s">
        <v>209</v>
      </c>
      <c r="AE345" s="166" t="s">
        <v>198</v>
      </c>
      <c r="AF345" s="165" t="s">
        <v>164</v>
      </c>
      <c r="AG345" s="165" t="s">
        <v>590</v>
      </c>
      <c r="AH345" s="165" t="s">
        <v>164</v>
      </c>
      <c r="AI345" s="165" t="s">
        <v>166</v>
      </c>
      <c r="AJ345" s="165" t="s">
        <v>164</v>
      </c>
      <c r="AK345" s="165" t="s">
        <v>164</v>
      </c>
      <c r="AL345" s="165" t="s">
        <v>164</v>
      </c>
      <c r="AM345" s="178"/>
      <c r="AN345" s="178"/>
      <c r="AO345" s="28">
        <f t="shared" si="25"/>
        <v>0</v>
      </c>
      <c r="AP345" s="178" t="s">
        <v>164</v>
      </c>
      <c r="AQ345" s="178"/>
      <c r="AR345" s="178" t="s">
        <v>164</v>
      </c>
      <c r="AS345" s="178"/>
      <c r="AT345" s="178" t="s">
        <v>164</v>
      </c>
      <c r="AU345" s="178"/>
      <c r="AV345" s="178"/>
      <c r="AW345" s="178"/>
      <c r="AX345" s="178"/>
      <c r="AY345" s="178"/>
      <c r="AZ345" s="178"/>
      <c r="BA345" s="178"/>
      <c r="BB345" s="178"/>
      <c r="BC345" s="178"/>
      <c r="BD345" s="178"/>
      <c r="BE345" s="165" t="s">
        <v>164</v>
      </c>
      <c r="BF345" s="165" t="s">
        <v>164</v>
      </c>
      <c r="BG345" s="165" t="s">
        <v>164</v>
      </c>
      <c r="BH345" s="165" t="s">
        <v>164</v>
      </c>
      <c r="BI345" s="179"/>
      <c r="BJ345" s="179" t="s">
        <v>164</v>
      </c>
      <c r="BK345" s="179"/>
      <c r="BL345" s="179" t="s">
        <v>164</v>
      </c>
      <c r="BM345" s="179"/>
      <c r="BN345" s="179" t="s">
        <v>164</v>
      </c>
      <c r="BO345" s="179"/>
      <c r="BP345" s="179"/>
      <c r="BQ345" s="179"/>
      <c r="BR345" s="179" t="s">
        <v>164</v>
      </c>
      <c r="BS345" s="179"/>
      <c r="BT345" s="179" t="s">
        <v>164</v>
      </c>
      <c r="BU345" s="179"/>
      <c r="BV345" s="179"/>
      <c r="BW345" s="179"/>
      <c r="BX345" s="179" t="s">
        <v>164</v>
      </c>
      <c r="BY345" s="179"/>
      <c r="BZ345" s="179" t="s">
        <v>164</v>
      </c>
      <c r="CA345" s="179"/>
      <c r="CB345" s="179" t="s">
        <v>164</v>
      </c>
      <c r="CC345" s="179"/>
      <c r="CD345" s="179" t="s">
        <v>164</v>
      </c>
      <c r="CE345" s="165" t="s">
        <v>585</v>
      </c>
      <c r="CF345" s="165" t="s">
        <v>164</v>
      </c>
      <c r="CG345" s="165" t="s">
        <v>164</v>
      </c>
      <c r="CH345" s="165" t="s">
        <v>585</v>
      </c>
      <c r="CI345" s="165" t="s">
        <v>164</v>
      </c>
      <c r="CJ345" s="165" t="s">
        <v>164</v>
      </c>
      <c r="CK345" s="165" t="s">
        <v>164</v>
      </c>
      <c r="CL345" s="165" t="s">
        <v>164</v>
      </c>
      <c r="CM345" s="165" t="s">
        <v>164</v>
      </c>
      <c r="CN345" s="165" t="s">
        <v>585</v>
      </c>
      <c r="CO345" s="165" t="s">
        <v>585</v>
      </c>
      <c r="CP345" s="165" t="s">
        <v>164</v>
      </c>
      <c r="CQ345" s="35" t="s">
        <v>585</v>
      </c>
      <c r="CR345" s="165" t="s">
        <v>164</v>
      </c>
      <c r="CS345" s="165" t="s">
        <v>164</v>
      </c>
      <c r="CT345" s="165" t="s">
        <v>164</v>
      </c>
      <c r="CU345" s="165" t="s">
        <v>164</v>
      </c>
      <c r="CV345" s="165" t="s">
        <v>164</v>
      </c>
      <c r="CW345" s="185"/>
      <c r="CX345" s="185"/>
      <c r="CY345" s="185"/>
      <c r="CZ345" s="33"/>
      <c r="DA345" s="33" t="s">
        <v>164</v>
      </c>
      <c r="DB345" s="33" t="s">
        <v>164</v>
      </c>
      <c r="DC345" s="33" t="s">
        <v>164</v>
      </c>
      <c r="DD345" s="33" t="s">
        <v>164</v>
      </c>
      <c r="DE345" s="33" t="s">
        <v>164</v>
      </c>
      <c r="DF345" s="33" t="s">
        <v>164</v>
      </c>
      <c r="DG345" s="33" t="s">
        <v>164</v>
      </c>
      <c r="DH345" s="33" t="s">
        <v>164</v>
      </c>
      <c r="DI345" s="33" t="s">
        <v>164</v>
      </c>
      <c r="DJ345" s="134"/>
      <c r="DK345" s="63"/>
      <c r="DL345" s="63"/>
      <c r="DM345" s="63"/>
      <c r="DN345" s="63"/>
      <c r="DO345" s="63"/>
      <c r="DP345" s="63"/>
      <c r="DQ345" s="63"/>
      <c r="DR345" s="63"/>
      <c r="DS345" s="63"/>
      <c r="DT345" s="63"/>
      <c r="DU345" s="63"/>
      <c r="DV345" s="63"/>
      <c r="DW345" s="63"/>
      <c r="DX345" s="63"/>
      <c r="DY345" s="63"/>
      <c r="DZ345" s="63"/>
      <c r="EA345" s="63"/>
      <c r="EB345" s="63"/>
      <c r="EC345" s="63"/>
      <c r="ED345" s="63"/>
      <c r="EE345" s="63"/>
      <c r="EF345" s="63"/>
      <c r="EG345" s="63"/>
      <c r="EH345" s="63"/>
      <c r="EI345" s="63"/>
      <c r="EJ345" s="63"/>
      <c r="EK345" s="63"/>
      <c r="EL345" s="63"/>
      <c r="EM345" s="63"/>
      <c r="EN345" s="63"/>
      <c r="EO345" s="63"/>
      <c r="EP345" s="63"/>
      <c r="EQ345" s="63"/>
      <c r="ER345" s="63"/>
      <c r="ES345" s="63"/>
      <c r="ET345" s="150"/>
      <c r="EU345" s="63"/>
      <c r="EV345" s="63"/>
      <c r="EW345" s="63"/>
      <c r="EX345" s="63"/>
      <c r="EY345" s="63"/>
      <c r="EZ345" s="33"/>
      <c r="FA345" s="33"/>
      <c r="FB345" s="33"/>
      <c r="FC345" s="33"/>
      <c r="FD345" s="33"/>
      <c r="FE345" s="33"/>
      <c r="FF345" s="33"/>
      <c r="FG345" s="33"/>
      <c r="FH345" s="33"/>
      <c r="FI345" s="33"/>
      <c r="FJ345" s="33"/>
      <c r="FK345" s="33"/>
      <c r="FL345" s="33"/>
      <c r="FM345" s="33"/>
      <c r="FN345" s="33"/>
      <c r="FO345" s="33"/>
      <c r="FP345" s="33"/>
      <c r="FQ345" s="33"/>
      <c r="FR345" s="33"/>
      <c r="FS345" s="33"/>
      <c r="FT345" s="33"/>
      <c r="FU345" s="33"/>
      <c r="FV345" s="33"/>
      <c r="FW345" s="33"/>
      <c r="FX345" s="33"/>
      <c r="FY345" s="33"/>
      <c r="FZ345" s="33"/>
      <c r="GA345" s="33"/>
    </row>
    <row r="346" ht="15.75" customHeight="1">
      <c r="A346" s="86"/>
      <c r="B346" s="86"/>
      <c r="C346" s="165"/>
      <c r="D346" s="165"/>
      <c r="E346" s="165"/>
      <c r="F346" s="165"/>
      <c r="G346" s="165"/>
      <c r="H346" s="165"/>
      <c r="I346" s="165"/>
      <c r="J346" s="165" t="s">
        <v>581</v>
      </c>
      <c r="K346" s="87" t="s">
        <v>647</v>
      </c>
      <c r="L346" s="87"/>
      <c r="M346" s="87"/>
      <c r="N346" s="87" t="s">
        <v>647</v>
      </c>
      <c r="O346" s="177" t="s">
        <v>648</v>
      </c>
      <c r="P346" s="35"/>
      <c r="Q346" s="35" t="str">
        <f t="shared" si="24"/>
        <v>fine-grained, homogeneous,  marble</v>
      </c>
      <c r="R346" s="35" t="s">
        <v>180</v>
      </c>
      <c r="S346" s="35" t="s">
        <v>164</v>
      </c>
      <c r="T346" s="35" t="s">
        <v>194</v>
      </c>
      <c r="U346" s="165" t="s">
        <v>164</v>
      </c>
      <c r="V346" s="165" t="s">
        <v>164</v>
      </c>
      <c r="W346" s="56" t="s">
        <v>190</v>
      </c>
      <c r="X346" s="35" t="s">
        <v>164</v>
      </c>
      <c r="Y346" s="35" t="s">
        <v>164</v>
      </c>
      <c r="Z346" s="35" t="s">
        <v>164</v>
      </c>
      <c r="AA346" s="165"/>
      <c r="AB346" s="165"/>
      <c r="AC346" s="86" t="s">
        <v>166</v>
      </c>
      <c r="AD346" s="56" t="s">
        <v>209</v>
      </c>
      <c r="AE346" s="166" t="s">
        <v>184</v>
      </c>
      <c r="AF346" s="165" t="s">
        <v>649</v>
      </c>
      <c r="AG346" s="165" t="s">
        <v>166</v>
      </c>
      <c r="AH346" s="165" t="s">
        <v>164</v>
      </c>
      <c r="AI346" s="165" t="s">
        <v>164</v>
      </c>
      <c r="AJ346" s="165" t="s">
        <v>164</v>
      </c>
      <c r="AK346" s="165" t="s">
        <v>164</v>
      </c>
      <c r="AL346" s="165" t="s">
        <v>164</v>
      </c>
      <c r="AM346" s="178"/>
      <c r="AN346" s="178"/>
      <c r="AO346" s="28">
        <f t="shared" si="25"/>
        <v>0</v>
      </c>
      <c r="AP346" s="178" t="s">
        <v>164</v>
      </c>
      <c r="AQ346" s="178"/>
      <c r="AR346" s="178" t="s">
        <v>164</v>
      </c>
      <c r="AS346" s="178"/>
      <c r="AT346" s="178" t="s">
        <v>164</v>
      </c>
      <c r="AU346" s="178"/>
      <c r="AV346" s="178"/>
      <c r="AW346" s="178"/>
      <c r="AX346" s="178"/>
      <c r="AY346" s="178"/>
      <c r="AZ346" s="178"/>
      <c r="BA346" s="178"/>
      <c r="BB346" s="178"/>
      <c r="BC346" s="178"/>
      <c r="BD346" s="178"/>
      <c r="BE346" s="165" t="s">
        <v>164</v>
      </c>
      <c r="BF346" s="165" t="s">
        <v>164</v>
      </c>
      <c r="BG346" s="165" t="s">
        <v>164</v>
      </c>
      <c r="BH346" s="165" t="s">
        <v>164</v>
      </c>
      <c r="BI346" s="179"/>
      <c r="BJ346" s="179" t="s">
        <v>164</v>
      </c>
      <c r="BK346" s="179"/>
      <c r="BL346" s="179" t="s">
        <v>164</v>
      </c>
      <c r="BM346" s="179"/>
      <c r="BN346" s="179" t="s">
        <v>164</v>
      </c>
      <c r="BO346" s="179"/>
      <c r="BP346" s="179"/>
      <c r="BQ346" s="179"/>
      <c r="BR346" s="179" t="s">
        <v>164</v>
      </c>
      <c r="BS346" s="179"/>
      <c r="BT346" s="179" t="s">
        <v>164</v>
      </c>
      <c r="BU346" s="179"/>
      <c r="BV346" s="179"/>
      <c r="BW346" s="179"/>
      <c r="BX346" s="179" t="s">
        <v>164</v>
      </c>
      <c r="BY346" s="179"/>
      <c r="BZ346" s="179" t="s">
        <v>164</v>
      </c>
      <c r="CA346" s="179"/>
      <c r="CB346" s="179" t="s">
        <v>164</v>
      </c>
      <c r="CC346" s="179"/>
      <c r="CD346" s="179" t="s">
        <v>164</v>
      </c>
      <c r="CE346" s="165" t="s">
        <v>164</v>
      </c>
      <c r="CF346" s="165" t="s">
        <v>164</v>
      </c>
      <c r="CG346" s="165" t="s">
        <v>164</v>
      </c>
      <c r="CH346" s="165" t="s">
        <v>164</v>
      </c>
      <c r="CI346" s="165" t="s">
        <v>164</v>
      </c>
      <c r="CJ346" s="165" t="s">
        <v>164</v>
      </c>
      <c r="CK346" s="165" t="s">
        <v>164</v>
      </c>
      <c r="CL346" s="165" t="s">
        <v>164</v>
      </c>
      <c r="CM346" s="165" t="s">
        <v>164</v>
      </c>
      <c r="CN346" s="165" t="s">
        <v>164</v>
      </c>
      <c r="CO346" s="165" t="s">
        <v>164</v>
      </c>
      <c r="CP346" s="165" t="s">
        <v>164</v>
      </c>
      <c r="CQ346" s="165" t="s">
        <v>164</v>
      </c>
      <c r="CR346" s="165" t="s">
        <v>164</v>
      </c>
      <c r="CS346" s="165" t="s">
        <v>164</v>
      </c>
      <c r="CT346" s="165" t="s">
        <v>164</v>
      </c>
      <c r="CU346" s="165" t="s">
        <v>164</v>
      </c>
      <c r="CV346" s="165" t="s">
        <v>164</v>
      </c>
      <c r="CW346" s="185"/>
      <c r="CX346" s="185"/>
      <c r="CY346" s="185"/>
      <c r="CZ346" s="33"/>
      <c r="DA346" s="33" t="s">
        <v>164</v>
      </c>
      <c r="DB346" s="33" t="s">
        <v>164</v>
      </c>
      <c r="DC346" s="33" t="s">
        <v>164</v>
      </c>
      <c r="DD346" s="33" t="s">
        <v>164</v>
      </c>
      <c r="DE346" s="33" t="s">
        <v>164</v>
      </c>
      <c r="DF346" s="33" t="s">
        <v>164</v>
      </c>
      <c r="DG346" s="33" t="s">
        <v>164</v>
      </c>
      <c r="DH346" s="33" t="s">
        <v>164</v>
      </c>
      <c r="DI346" s="33" t="s">
        <v>164</v>
      </c>
    </row>
    <row r="347" ht="15.75" customHeight="1">
      <c r="A347" s="86"/>
      <c r="B347" s="86"/>
      <c r="C347" s="165"/>
      <c r="D347" s="165"/>
      <c r="E347" s="165"/>
      <c r="F347" s="165"/>
      <c r="G347" s="165"/>
      <c r="H347" s="165"/>
      <c r="I347" s="165"/>
      <c r="J347" s="165" t="s">
        <v>601</v>
      </c>
      <c r="K347" s="87" t="s">
        <v>647</v>
      </c>
      <c r="L347" s="87"/>
      <c r="M347" s="87"/>
      <c r="N347" s="87" t="s">
        <v>647</v>
      </c>
      <c r="O347" s="177" t="s">
        <v>648</v>
      </c>
      <c r="P347" s="35"/>
      <c r="Q347" s="35" t="str">
        <f t="shared" si="24"/>
        <v>very fine-grained, homogeneous, white/whitish marble</v>
      </c>
      <c r="R347" s="35" t="s">
        <v>188</v>
      </c>
      <c r="S347" s="35" t="s">
        <v>226</v>
      </c>
      <c r="T347" s="35" t="s">
        <v>194</v>
      </c>
      <c r="U347" s="165" t="s">
        <v>164</v>
      </c>
      <c r="V347" s="165" t="s">
        <v>164</v>
      </c>
      <c r="W347" s="56" t="s">
        <v>190</v>
      </c>
      <c r="X347" s="165" t="s">
        <v>164</v>
      </c>
      <c r="Y347" s="165" t="s">
        <v>164</v>
      </c>
      <c r="Z347" s="165" t="s">
        <v>164</v>
      </c>
      <c r="AA347" s="165"/>
      <c r="AB347" s="165"/>
      <c r="AC347" s="165" t="s">
        <v>164</v>
      </c>
      <c r="AD347" s="165" t="s">
        <v>164</v>
      </c>
      <c r="AE347" s="171"/>
      <c r="AF347" s="165" t="s">
        <v>164</v>
      </c>
      <c r="AG347" s="165" t="s">
        <v>164</v>
      </c>
      <c r="AH347" s="165" t="s">
        <v>164</v>
      </c>
      <c r="AI347" s="165" t="s">
        <v>164</v>
      </c>
      <c r="AJ347" s="165" t="s">
        <v>164</v>
      </c>
      <c r="AK347" s="165" t="s">
        <v>164</v>
      </c>
      <c r="AL347" s="165" t="s">
        <v>164</v>
      </c>
      <c r="AM347" s="178"/>
      <c r="AN347" s="178"/>
      <c r="AO347" s="28">
        <f t="shared" si="25"/>
        <v>0</v>
      </c>
      <c r="AP347" s="178" t="s">
        <v>164</v>
      </c>
      <c r="AQ347" s="178"/>
      <c r="AR347" s="178" t="s">
        <v>164</v>
      </c>
      <c r="AS347" s="178"/>
      <c r="AT347" s="178" t="s">
        <v>164</v>
      </c>
      <c r="AU347" s="178"/>
      <c r="AV347" s="178"/>
      <c r="AW347" s="178"/>
      <c r="AX347" s="178"/>
      <c r="AY347" s="178"/>
      <c r="AZ347" s="178"/>
      <c r="BA347" s="178"/>
      <c r="BB347" s="178"/>
      <c r="BC347" s="178"/>
      <c r="BD347" s="178"/>
      <c r="BE347" s="183" t="s">
        <v>650</v>
      </c>
      <c r="BF347" s="184" t="s">
        <v>651</v>
      </c>
      <c r="BG347" s="184" t="s">
        <v>652</v>
      </c>
      <c r="BH347" s="184" t="s">
        <v>653</v>
      </c>
      <c r="BI347" s="179"/>
      <c r="BJ347" s="179" t="s">
        <v>164</v>
      </c>
      <c r="BK347" s="179"/>
      <c r="BL347" s="179" t="s">
        <v>164</v>
      </c>
      <c r="BM347" s="179"/>
      <c r="BN347" s="179" t="s">
        <v>164</v>
      </c>
      <c r="BO347" s="179"/>
      <c r="BP347" s="179"/>
      <c r="BQ347" s="179"/>
      <c r="BR347" s="179" t="s">
        <v>164</v>
      </c>
      <c r="BS347" s="179"/>
      <c r="BT347" s="179" t="s">
        <v>164</v>
      </c>
      <c r="BU347" s="179"/>
      <c r="BV347" s="179"/>
      <c r="BW347" s="179"/>
      <c r="BX347" s="179" t="s">
        <v>164</v>
      </c>
      <c r="BY347" s="179"/>
      <c r="BZ347" s="179" t="s">
        <v>164</v>
      </c>
      <c r="CA347" s="179"/>
      <c r="CB347" s="179" t="s">
        <v>164</v>
      </c>
      <c r="CC347" s="179"/>
      <c r="CD347" s="179" t="s">
        <v>164</v>
      </c>
      <c r="CE347" s="165" t="s">
        <v>164</v>
      </c>
      <c r="CF347" s="165" t="s">
        <v>164</v>
      </c>
      <c r="CG347" s="165" t="s">
        <v>164</v>
      </c>
      <c r="CH347" s="165" t="s">
        <v>164</v>
      </c>
      <c r="CI347" s="165" t="s">
        <v>164</v>
      </c>
      <c r="CJ347" s="165" t="s">
        <v>164</v>
      </c>
      <c r="CK347" s="165" t="s">
        <v>164</v>
      </c>
      <c r="CL347" s="165" t="s">
        <v>164</v>
      </c>
      <c r="CM347" s="165" t="s">
        <v>164</v>
      </c>
      <c r="CN347" s="165" t="s">
        <v>164</v>
      </c>
      <c r="CO347" s="165" t="s">
        <v>164</v>
      </c>
      <c r="CP347" s="165" t="s">
        <v>164</v>
      </c>
      <c r="CQ347" s="165" t="s">
        <v>164</v>
      </c>
      <c r="CR347" s="165" t="s">
        <v>164</v>
      </c>
      <c r="CS347" s="165" t="s">
        <v>164</v>
      </c>
      <c r="CT347" s="165" t="s">
        <v>164</v>
      </c>
      <c r="CU347" s="165" t="s">
        <v>164</v>
      </c>
      <c r="CV347" s="165" t="s">
        <v>164</v>
      </c>
      <c r="CW347" s="185"/>
      <c r="CX347" s="185"/>
      <c r="CY347" s="185"/>
      <c r="CZ347" s="33"/>
      <c r="DA347" s="33" t="s">
        <v>164</v>
      </c>
      <c r="DB347" s="33" t="s">
        <v>164</v>
      </c>
      <c r="DC347" s="33" t="s">
        <v>164</v>
      </c>
      <c r="DD347" s="33" t="s">
        <v>164</v>
      </c>
      <c r="DE347" s="33" t="s">
        <v>164</v>
      </c>
      <c r="DF347" s="33" t="s">
        <v>164</v>
      </c>
      <c r="DG347" s="33" t="s">
        <v>164</v>
      </c>
      <c r="DH347" s="33" t="s">
        <v>164</v>
      </c>
      <c r="DI347" s="33" t="s">
        <v>164</v>
      </c>
      <c r="DJ347" s="134"/>
      <c r="DK347" s="63"/>
      <c r="DL347" s="63"/>
      <c r="DM347" s="63"/>
      <c r="DN347" s="63"/>
      <c r="DO347" s="63"/>
      <c r="DP347" s="63"/>
      <c r="DQ347" s="63"/>
      <c r="DR347" s="63"/>
      <c r="DS347" s="63"/>
      <c r="DT347" s="63"/>
      <c r="DU347" s="63"/>
      <c r="DV347" s="63"/>
      <c r="DW347" s="63"/>
      <c r="DX347" s="63"/>
      <c r="DY347" s="63"/>
      <c r="DZ347" s="63"/>
      <c r="EA347" s="63"/>
      <c r="EB347" s="63"/>
      <c r="EC347" s="63"/>
      <c r="ED347" s="63"/>
      <c r="EE347" s="63"/>
      <c r="EF347" s="150"/>
      <c r="EG347" s="63"/>
      <c r="EH347" s="63"/>
      <c r="EI347" s="63"/>
      <c r="EJ347" s="63"/>
      <c r="EK347" s="63"/>
      <c r="EL347" s="63"/>
      <c r="EM347" s="63"/>
      <c r="EN347" s="63"/>
      <c r="EO347" s="63"/>
      <c r="EP347" s="63"/>
      <c r="EQ347" s="63"/>
      <c r="ER347" s="63"/>
      <c r="ES347" s="63"/>
      <c r="ET347" s="150"/>
      <c r="EU347" s="63"/>
      <c r="EV347" s="63"/>
      <c r="EW347" s="63"/>
      <c r="EX347" s="63"/>
      <c r="EY347" s="63"/>
      <c r="EZ347" s="33"/>
    </row>
    <row r="348" ht="15.75" customHeight="1">
      <c r="B348" s="165"/>
      <c r="C348" s="165"/>
      <c r="D348" s="165"/>
      <c r="E348" s="165"/>
      <c r="F348" s="165"/>
      <c r="G348" s="165"/>
      <c r="H348" s="165"/>
      <c r="I348" s="165"/>
      <c r="J348" s="165" t="s">
        <v>654</v>
      </c>
      <c r="K348" s="87" t="s">
        <v>647</v>
      </c>
      <c r="L348" s="87"/>
      <c r="M348" s="87"/>
      <c r="N348" s="87" t="s">
        <v>647</v>
      </c>
      <c r="O348" s="177" t="s">
        <v>648</v>
      </c>
      <c r="P348" s="35"/>
      <c r="Q348" s="35" t="str">
        <f t="shared" si="24"/>
        <v>-grained, homogeneous,  marble</v>
      </c>
      <c r="R348" s="35" t="s">
        <v>164</v>
      </c>
      <c r="S348" s="35" t="s">
        <v>164</v>
      </c>
      <c r="T348" s="35" t="s">
        <v>194</v>
      </c>
      <c r="U348" s="165" t="s">
        <v>164</v>
      </c>
      <c r="V348" s="165" t="s">
        <v>164</v>
      </c>
      <c r="W348" s="56" t="s">
        <v>190</v>
      </c>
      <c r="X348" s="35" t="s">
        <v>164</v>
      </c>
      <c r="Y348" s="35" t="s">
        <v>164</v>
      </c>
      <c r="Z348" s="35" t="s">
        <v>164</v>
      </c>
      <c r="AA348" s="165"/>
      <c r="AB348" s="165"/>
      <c r="AC348" s="165" t="s">
        <v>164</v>
      </c>
      <c r="AD348" s="165" t="s">
        <v>164</v>
      </c>
      <c r="AE348" s="171"/>
      <c r="AF348" s="165" t="s">
        <v>164</v>
      </c>
      <c r="AG348" s="165" t="s">
        <v>164</v>
      </c>
      <c r="AH348" s="165" t="s">
        <v>164</v>
      </c>
      <c r="AI348" s="165" t="s">
        <v>164</v>
      </c>
      <c r="AJ348" s="165" t="s">
        <v>164</v>
      </c>
      <c r="AK348" s="165" t="s">
        <v>164</v>
      </c>
      <c r="AL348" s="165" t="s">
        <v>164</v>
      </c>
      <c r="AM348" s="181"/>
      <c r="AN348" s="181"/>
      <c r="AO348" s="28">
        <f t="shared" si="25"/>
        <v>0</v>
      </c>
      <c r="AP348" s="181" t="s">
        <v>164</v>
      </c>
      <c r="AQ348" s="178"/>
      <c r="AR348" s="182" t="s">
        <v>164</v>
      </c>
      <c r="AS348" s="178"/>
      <c r="AT348" s="178" t="s">
        <v>164</v>
      </c>
      <c r="AU348" s="178"/>
      <c r="AV348" s="178"/>
      <c r="AW348" s="178"/>
      <c r="AX348" s="178"/>
      <c r="AY348" s="178"/>
      <c r="AZ348" s="178"/>
      <c r="BA348" s="178"/>
      <c r="BB348" s="178"/>
      <c r="BC348" s="178"/>
      <c r="BD348" s="178"/>
      <c r="BE348" s="165" t="s">
        <v>164</v>
      </c>
      <c r="BF348" s="165" t="s">
        <v>164</v>
      </c>
      <c r="BG348" s="165" t="s">
        <v>164</v>
      </c>
      <c r="BH348" s="165" t="s">
        <v>164</v>
      </c>
      <c r="BI348" s="179"/>
      <c r="BJ348" s="179" t="s">
        <v>164</v>
      </c>
      <c r="BK348" s="179"/>
      <c r="BL348" s="179" t="s">
        <v>164</v>
      </c>
      <c r="BM348" s="179"/>
      <c r="BN348" s="179"/>
      <c r="BO348" s="188"/>
      <c r="BP348" s="188"/>
      <c r="BQ348" s="188"/>
      <c r="BR348" s="188"/>
      <c r="BS348" s="188">
        <v>62.0</v>
      </c>
      <c r="BT348" s="188"/>
      <c r="BU348" s="188">
        <v>14.0</v>
      </c>
      <c r="BV348" s="179"/>
      <c r="BW348" s="179"/>
      <c r="BX348" s="179" t="s">
        <v>164</v>
      </c>
      <c r="BY348" s="188">
        <v>691.0</v>
      </c>
      <c r="BZ348" s="188"/>
      <c r="CA348" s="188"/>
      <c r="CB348" s="188"/>
      <c r="CC348" s="179"/>
      <c r="CD348" s="179"/>
      <c r="CE348" s="165" t="s">
        <v>164</v>
      </c>
      <c r="CF348" s="165" t="s">
        <v>164</v>
      </c>
      <c r="CG348" s="165" t="s">
        <v>164</v>
      </c>
      <c r="CH348" s="165" t="s">
        <v>164</v>
      </c>
      <c r="CI348" s="165" t="s">
        <v>164</v>
      </c>
      <c r="CJ348" s="165" t="s">
        <v>164</v>
      </c>
      <c r="CK348" s="165" t="s">
        <v>164</v>
      </c>
      <c r="CL348" s="165" t="s">
        <v>164</v>
      </c>
      <c r="CM348" s="165" t="s">
        <v>164</v>
      </c>
      <c r="CN348" s="165" t="s">
        <v>164</v>
      </c>
      <c r="CO348" s="165" t="s">
        <v>164</v>
      </c>
      <c r="CP348" s="165" t="s">
        <v>164</v>
      </c>
      <c r="CQ348" s="165" t="s">
        <v>164</v>
      </c>
      <c r="CR348" s="165" t="s">
        <v>164</v>
      </c>
      <c r="CS348" s="165" t="s">
        <v>164</v>
      </c>
      <c r="CT348" s="165" t="s">
        <v>164</v>
      </c>
      <c r="CU348" s="165" t="s">
        <v>164</v>
      </c>
      <c r="CV348" s="165" t="s">
        <v>164</v>
      </c>
      <c r="CW348" s="185"/>
      <c r="CX348" s="185"/>
      <c r="CY348" s="185"/>
      <c r="CZ348" s="33"/>
      <c r="DA348" s="33" t="s">
        <v>164</v>
      </c>
      <c r="DB348" s="33" t="s">
        <v>164</v>
      </c>
      <c r="DC348" s="33" t="s">
        <v>164</v>
      </c>
      <c r="DD348" s="33" t="s">
        <v>164</v>
      </c>
      <c r="DE348" s="33" t="s">
        <v>164</v>
      </c>
      <c r="DF348" s="33" t="s">
        <v>164</v>
      </c>
      <c r="DG348" s="33" t="s">
        <v>164</v>
      </c>
      <c r="DH348" s="33" t="s">
        <v>164</v>
      </c>
      <c r="DI348" s="33" t="s">
        <v>164</v>
      </c>
    </row>
    <row r="349" ht="15.75" customHeight="1">
      <c r="B349" s="165"/>
      <c r="C349" s="165"/>
      <c r="D349" s="165"/>
      <c r="E349" s="165"/>
      <c r="F349" s="165"/>
      <c r="G349" s="165"/>
      <c r="H349" s="165"/>
      <c r="I349" s="165"/>
      <c r="J349" s="165" t="s">
        <v>654</v>
      </c>
      <c r="K349" s="87" t="s">
        <v>647</v>
      </c>
      <c r="L349" s="87"/>
      <c r="M349" s="87"/>
      <c r="N349" s="87" t="s">
        <v>647</v>
      </c>
      <c r="O349" s="177" t="s">
        <v>648</v>
      </c>
      <c r="P349" s="35"/>
      <c r="Q349" s="35" t="str">
        <f t="shared" si="24"/>
        <v>-grained, homogeneous,  marble</v>
      </c>
      <c r="R349" s="35" t="s">
        <v>164</v>
      </c>
      <c r="S349" s="35" t="s">
        <v>164</v>
      </c>
      <c r="T349" s="35" t="s">
        <v>194</v>
      </c>
      <c r="U349" s="165" t="s">
        <v>164</v>
      </c>
      <c r="V349" s="165" t="s">
        <v>164</v>
      </c>
      <c r="W349" s="56" t="s">
        <v>190</v>
      </c>
      <c r="X349" s="35" t="s">
        <v>164</v>
      </c>
      <c r="Y349" s="35" t="s">
        <v>164</v>
      </c>
      <c r="Z349" s="35" t="s">
        <v>164</v>
      </c>
      <c r="AA349" s="35"/>
      <c r="AB349" s="35"/>
      <c r="AC349" s="35"/>
      <c r="AD349" s="165" t="s">
        <v>164</v>
      </c>
      <c r="AE349" s="171"/>
      <c r="AF349" s="165" t="s">
        <v>164</v>
      </c>
      <c r="AG349" s="165" t="s">
        <v>164</v>
      </c>
      <c r="AH349" s="165" t="s">
        <v>164</v>
      </c>
      <c r="AI349" s="165" t="s">
        <v>164</v>
      </c>
      <c r="AJ349" s="165" t="s">
        <v>164</v>
      </c>
      <c r="AK349" s="165" t="s">
        <v>164</v>
      </c>
      <c r="AL349" s="165" t="s">
        <v>164</v>
      </c>
      <c r="AM349" s="181"/>
      <c r="AN349" s="181"/>
      <c r="AO349" s="28">
        <f t="shared" si="25"/>
        <v>0</v>
      </c>
      <c r="AP349" s="181" t="s">
        <v>164</v>
      </c>
      <c r="AQ349" s="178"/>
      <c r="AR349" s="182" t="s">
        <v>164</v>
      </c>
      <c r="AS349" s="178"/>
      <c r="AT349" s="178" t="s">
        <v>164</v>
      </c>
      <c r="AU349" s="178"/>
      <c r="AV349" s="178"/>
      <c r="AW349" s="178"/>
      <c r="AX349" s="178"/>
      <c r="AY349" s="178"/>
      <c r="AZ349" s="178"/>
      <c r="BA349" s="178"/>
      <c r="BB349" s="178"/>
      <c r="BC349" s="178"/>
      <c r="BD349" s="178"/>
      <c r="BE349" s="165" t="s">
        <v>164</v>
      </c>
      <c r="BF349" s="165" t="s">
        <v>164</v>
      </c>
      <c r="BG349" s="165" t="s">
        <v>164</v>
      </c>
      <c r="BH349" s="165" t="s">
        <v>164</v>
      </c>
      <c r="BI349" s="179"/>
      <c r="BJ349" s="179" t="s">
        <v>164</v>
      </c>
      <c r="BK349" s="179"/>
      <c r="BL349" s="179" t="s">
        <v>164</v>
      </c>
      <c r="BM349" s="179"/>
      <c r="BN349" s="179"/>
      <c r="BO349" s="188"/>
      <c r="BP349" s="188"/>
      <c r="BQ349" s="188"/>
      <c r="BR349" s="188"/>
      <c r="BS349" s="188">
        <v>47.0</v>
      </c>
      <c r="BT349" s="188"/>
      <c r="BU349" s="188">
        <v>19.5</v>
      </c>
      <c r="BV349" s="179"/>
      <c r="BW349" s="179"/>
      <c r="BX349" s="179" t="s">
        <v>164</v>
      </c>
      <c r="BY349" s="188">
        <v>533.0</v>
      </c>
      <c r="BZ349" s="188"/>
      <c r="CA349" s="188"/>
      <c r="CB349" s="188"/>
      <c r="CC349" s="179"/>
      <c r="CD349" s="179"/>
      <c r="CE349" s="165" t="s">
        <v>164</v>
      </c>
      <c r="CF349" s="165" t="s">
        <v>164</v>
      </c>
      <c r="CG349" s="165" t="s">
        <v>164</v>
      </c>
      <c r="CH349" s="165" t="s">
        <v>164</v>
      </c>
      <c r="CI349" s="165" t="s">
        <v>164</v>
      </c>
      <c r="CJ349" s="165" t="s">
        <v>164</v>
      </c>
      <c r="CK349" s="165" t="s">
        <v>164</v>
      </c>
      <c r="CL349" s="165" t="s">
        <v>164</v>
      </c>
      <c r="CM349" s="165" t="s">
        <v>164</v>
      </c>
      <c r="CN349" s="165" t="s">
        <v>164</v>
      </c>
      <c r="CO349" s="165" t="s">
        <v>164</v>
      </c>
      <c r="CP349" s="165" t="s">
        <v>164</v>
      </c>
      <c r="CQ349" s="165" t="s">
        <v>164</v>
      </c>
      <c r="CR349" s="165" t="s">
        <v>164</v>
      </c>
      <c r="CS349" s="165" t="s">
        <v>164</v>
      </c>
      <c r="CT349" s="165" t="s">
        <v>164</v>
      </c>
      <c r="CU349" s="165" t="s">
        <v>164</v>
      </c>
      <c r="CV349" s="165" t="s">
        <v>164</v>
      </c>
      <c r="CW349" s="185"/>
      <c r="CX349" s="189"/>
      <c r="CY349" s="189"/>
      <c r="CZ349" s="33"/>
      <c r="DA349" s="33" t="s">
        <v>164</v>
      </c>
      <c r="DB349" s="33" t="s">
        <v>164</v>
      </c>
      <c r="DC349" s="33" t="s">
        <v>164</v>
      </c>
      <c r="DD349" s="33" t="s">
        <v>164</v>
      </c>
      <c r="DE349" s="33" t="s">
        <v>164</v>
      </c>
      <c r="DF349" s="33" t="s">
        <v>164</v>
      </c>
      <c r="DG349" s="33" t="s">
        <v>164</v>
      </c>
      <c r="DH349" s="33" t="s">
        <v>164</v>
      </c>
      <c r="DI349" s="33" t="s">
        <v>164</v>
      </c>
    </row>
    <row r="350" ht="15.75" customHeight="1">
      <c r="B350" s="35"/>
      <c r="C350" s="35"/>
      <c r="D350" s="35"/>
      <c r="E350" s="35"/>
      <c r="F350" s="35"/>
      <c r="G350" s="35"/>
      <c r="H350" s="35"/>
      <c r="I350" s="35"/>
      <c r="J350" s="35" t="s">
        <v>586</v>
      </c>
      <c r="K350" s="87" t="s">
        <v>655</v>
      </c>
      <c r="L350" s="87"/>
      <c r="M350" s="87"/>
      <c r="N350" s="87" t="s">
        <v>655</v>
      </c>
      <c r="O350" s="21" t="s">
        <v>656</v>
      </c>
      <c r="P350" s="35"/>
      <c r="Q350" s="35" t="str">
        <f t="shared" si="24"/>
        <v>-grained, homogeneous,  marble</v>
      </c>
      <c r="R350" s="35" t="s">
        <v>164</v>
      </c>
      <c r="S350" s="35" t="s">
        <v>164</v>
      </c>
      <c r="T350" s="35" t="s">
        <v>194</v>
      </c>
      <c r="U350" s="165" t="s">
        <v>164</v>
      </c>
      <c r="V350" s="165" t="s">
        <v>164</v>
      </c>
      <c r="W350" s="56" t="s">
        <v>190</v>
      </c>
      <c r="X350" s="35" t="s">
        <v>164</v>
      </c>
      <c r="Y350" s="35" t="s">
        <v>164</v>
      </c>
      <c r="Z350" s="35" t="s">
        <v>164</v>
      </c>
      <c r="AA350" s="165"/>
      <c r="AB350" s="165"/>
      <c r="AC350" s="165" t="s">
        <v>164</v>
      </c>
      <c r="AD350" s="165" t="s">
        <v>164</v>
      </c>
      <c r="AE350" s="171"/>
      <c r="AF350" s="165" t="s">
        <v>164</v>
      </c>
      <c r="AG350" s="165" t="s">
        <v>164</v>
      </c>
      <c r="AH350" s="165" t="s">
        <v>164</v>
      </c>
      <c r="AI350" s="165" t="s">
        <v>164</v>
      </c>
      <c r="AJ350" s="165" t="s">
        <v>164</v>
      </c>
      <c r="AK350" s="165" t="s">
        <v>164</v>
      </c>
      <c r="AL350" s="165" t="s">
        <v>164</v>
      </c>
      <c r="AM350" s="181"/>
      <c r="AN350" s="181"/>
      <c r="AO350" s="28">
        <f t="shared" si="25"/>
        <v>100</v>
      </c>
      <c r="AP350" s="181">
        <v>96.15</v>
      </c>
      <c r="AQ350" s="178"/>
      <c r="AR350" s="182">
        <v>3.85</v>
      </c>
      <c r="AS350" s="178"/>
      <c r="AT350" s="178" t="s">
        <v>164</v>
      </c>
      <c r="AU350" s="178"/>
      <c r="AV350" s="178"/>
      <c r="AW350" s="178"/>
      <c r="AX350" s="178"/>
      <c r="AY350" s="178"/>
      <c r="AZ350" s="178"/>
      <c r="BA350" s="178"/>
      <c r="BB350" s="178"/>
      <c r="BC350" s="178"/>
      <c r="BD350" s="178"/>
      <c r="BE350" s="165" t="s">
        <v>164</v>
      </c>
      <c r="BF350" s="165" t="s">
        <v>164</v>
      </c>
      <c r="BG350" s="165" t="s">
        <v>164</v>
      </c>
      <c r="BH350" s="165" t="s">
        <v>164</v>
      </c>
      <c r="BI350" s="179"/>
      <c r="BJ350" s="179" t="s">
        <v>164</v>
      </c>
      <c r="BK350" s="179"/>
      <c r="BL350" s="179" t="s">
        <v>164</v>
      </c>
      <c r="BM350" s="179"/>
      <c r="BN350" s="179" t="s">
        <v>164</v>
      </c>
      <c r="BO350" s="179"/>
      <c r="BP350" s="179"/>
      <c r="BQ350" s="179"/>
      <c r="BR350" s="179" t="s">
        <v>164</v>
      </c>
      <c r="BS350" s="179"/>
      <c r="BT350" s="179" t="s">
        <v>164</v>
      </c>
      <c r="BU350" s="179"/>
      <c r="BV350" s="179"/>
      <c r="BW350" s="179"/>
      <c r="BX350" s="179" t="s">
        <v>164</v>
      </c>
      <c r="BY350" s="179"/>
      <c r="BZ350" s="179" t="s">
        <v>164</v>
      </c>
      <c r="CA350" s="179"/>
      <c r="CB350" s="179" t="s">
        <v>164</v>
      </c>
      <c r="CC350" s="179"/>
      <c r="CD350" s="179" t="s">
        <v>164</v>
      </c>
      <c r="CE350" s="165" t="s">
        <v>585</v>
      </c>
      <c r="CF350" s="165" t="s">
        <v>164</v>
      </c>
      <c r="CG350" s="165" t="s">
        <v>164</v>
      </c>
      <c r="CH350" s="165" t="s">
        <v>164</v>
      </c>
      <c r="CI350" s="165" t="s">
        <v>164</v>
      </c>
      <c r="CJ350" s="165" t="s">
        <v>164</v>
      </c>
      <c r="CK350" s="165" t="s">
        <v>164</v>
      </c>
      <c r="CL350" s="165" t="s">
        <v>164</v>
      </c>
      <c r="CM350" s="165" t="s">
        <v>164</v>
      </c>
      <c r="CN350" s="165" t="s">
        <v>164</v>
      </c>
      <c r="CO350" s="165" t="s">
        <v>164</v>
      </c>
      <c r="CP350" s="165" t="s">
        <v>164</v>
      </c>
      <c r="CQ350" s="165" t="s">
        <v>164</v>
      </c>
      <c r="CR350" s="165" t="s">
        <v>164</v>
      </c>
      <c r="CS350" s="165" t="s">
        <v>164</v>
      </c>
      <c r="CT350" s="165" t="s">
        <v>164</v>
      </c>
      <c r="CU350" s="165" t="s">
        <v>164</v>
      </c>
      <c r="CV350" s="165" t="s">
        <v>164</v>
      </c>
      <c r="CW350" s="185"/>
      <c r="CX350" s="185"/>
      <c r="CY350" s="185"/>
      <c r="CZ350" s="33"/>
      <c r="DA350" s="33" t="s">
        <v>164</v>
      </c>
      <c r="DB350" s="33" t="s">
        <v>164</v>
      </c>
      <c r="DC350" s="33" t="s">
        <v>164</v>
      </c>
      <c r="DD350" s="33" t="s">
        <v>164</v>
      </c>
      <c r="DE350" s="33" t="s">
        <v>164</v>
      </c>
      <c r="DF350" s="33" t="s">
        <v>164</v>
      </c>
      <c r="DG350" s="33" t="s">
        <v>164</v>
      </c>
      <c r="DH350" s="33" t="s">
        <v>164</v>
      </c>
      <c r="DI350" s="33" t="s">
        <v>164</v>
      </c>
      <c r="DJ350" s="134"/>
      <c r="DK350" s="63"/>
      <c r="DL350" s="63"/>
      <c r="DM350" s="63"/>
      <c r="DN350" s="63"/>
      <c r="DO350" s="63"/>
      <c r="DP350" s="63"/>
      <c r="DQ350" s="63"/>
      <c r="DR350" s="63"/>
      <c r="DS350" s="63"/>
      <c r="DT350" s="63"/>
      <c r="DU350" s="63"/>
      <c r="DV350" s="63"/>
      <c r="DW350" s="63"/>
      <c r="DX350" s="63"/>
      <c r="DY350" s="63"/>
      <c r="DZ350" s="63"/>
      <c r="EA350" s="63"/>
      <c r="EB350" s="63"/>
      <c r="EC350" s="63"/>
      <c r="ED350" s="63"/>
      <c r="EE350" s="63"/>
      <c r="EF350" s="63"/>
      <c r="EG350" s="63"/>
      <c r="EH350" s="63"/>
      <c r="EI350" s="63"/>
      <c r="EJ350" s="63"/>
      <c r="EK350" s="63"/>
      <c r="EL350" s="63"/>
      <c r="EM350" s="63"/>
      <c r="EN350" s="63"/>
      <c r="EO350" s="63"/>
      <c r="EP350" s="63"/>
      <c r="EQ350" s="63"/>
      <c r="ER350" s="63"/>
      <c r="ES350" s="63"/>
      <c r="ET350" s="63"/>
      <c r="EU350" s="63"/>
      <c r="EV350" s="63"/>
      <c r="EW350" s="63"/>
      <c r="EX350" s="63"/>
      <c r="EY350" s="63"/>
      <c r="EZ350" s="33"/>
    </row>
    <row r="351" ht="15.75" customHeight="1">
      <c r="B351" s="35"/>
      <c r="C351" s="35"/>
      <c r="D351" s="35"/>
      <c r="E351" s="35"/>
      <c r="F351" s="35"/>
      <c r="G351" s="35"/>
      <c r="H351" s="35"/>
      <c r="I351" s="35"/>
      <c r="J351" s="35" t="s">
        <v>586</v>
      </c>
      <c r="K351" s="87" t="s">
        <v>638</v>
      </c>
      <c r="L351" s="87"/>
      <c r="M351" s="87"/>
      <c r="N351" s="87" t="s">
        <v>638</v>
      </c>
      <c r="O351" s="21" t="s">
        <v>656</v>
      </c>
      <c r="P351" s="35"/>
      <c r="Q351" s="35" t="str">
        <f t="shared" si="24"/>
        <v>-grained, homogeneous,  marble</v>
      </c>
      <c r="R351" s="35" t="s">
        <v>164</v>
      </c>
      <c r="S351" s="35" t="s">
        <v>164</v>
      </c>
      <c r="T351" s="35" t="s">
        <v>194</v>
      </c>
      <c r="U351" s="165" t="s">
        <v>164</v>
      </c>
      <c r="V351" s="165" t="s">
        <v>164</v>
      </c>
      <c r="W351" s="56" t="s">
        <v>190</v>
      </c>
      <c r="X351" s="35" t="s">
        <v>164</v>
      </c>
      <c r="Y351" s="35" t="s">
        <v>164</v>
      </c>
      <c r="Z351" s="35" t="s">
        <v>164</v>
      </c>
      <c r="AA351" s="165"/>
      <c r="AB351" s="165"/>
      <c r="AC351" s="165" t="s">
        <v>164</v>
      </c>
      <c r="AD351" s="165" t="s">
        <v>164</v>
      </c>
      <c r="AE351" s="171"/>
      <c r="AF351" s="165" t="s">
        <v>164</v>
      </c>
      <c r="AG351" s="165" t="s">
        <v>164</v>
      </c>
      <c r="AH351" s="165" t="s">
        <v>164</v>
      </c>
      <c r="AI351" s="165" t="s">
        <v>164</v>
      </c>
      <c r="AJ351" s="165" t="s">
        <v>164</v>
      </c>
      <c r="AK351" s="165" t="s">
        <v>164</v>
      </c>
      <c r="AL351" s="165" t="s">
        <v>164</v>
      </c>
      <c r="AM351" s="181"/>
      <c r="AN351" s="181"/>
      <c r="AO351" s="28">
        <f t="shared" si="25"/>
        <v>100</v>
      </c>
      <c r="AP351" s="181">
        <v>0.99</v>
      </c>
      <c r="AQ351" s="178"/>
      <c r="AR351" s="182">
        <v>99.01</v>
      </c>
      <c r="AS351" s="178"/>
      <c r="AT351" s="178" t="s">
        <v>164</v>
      </c>
      <c r="AU351" s="178"/>
      <c r="AV351" s="178"/>
      <c r="AW351" s="178"/>
      <c r="AX351" s="178"/>
      <c r="AY351" s="178"/>
      <c r="AZ351" s="178"/>
      <c r="BA351" s="178"/>
      <c r="BB351" s="178"/>
      <c r="BC351" s="178"/>
      <c r="BD351" s="178"/>
      <c r="BE351" s="165" t="s">
        <v>164</v>
      </c>
      <c r="BF351" s="165" t="s">
        <v>164</v>
      </c>
      <c r="BG351" s="165" t="s">
        <v>164</v>
      </c>
      <c r="BH351" s="165" t="s">
        <v>164</v>
      </c>
      <c r="BI351" s="179"/>
      <c r="BJ351" s="179" t="s">
        <v>164</v>
      </c>
      <c r="BK351" s="179"/>
      <c r="BL351" s="179" t="s">
        <v>164</v>
      </c>
      <c r="BM351" s="179"/>
      <c r="BN351" s="179" t="s">
        <v>164</v>
      </c>
      <c r="BO351" s="179"/>
      <c r="BP351" s="179"/>
      <c r="BQ351" s="179"/>
      <c r="BR351" s="179" t="s">
        <v>164</v>
      </c>
      <c r="BS351" s="179"/>
      <c r="BT351" s="179" t="s">
        <v>164</v>
      </c>
      <c r="BU351" s="179"/>
      <c r="BV351" s="179"/>
      <c r="BW351" s="179"/>
      <c r="BX351" s="179" t="s">
        <v>164</v>
      </c>
      <c r="BY351" s="179"/>
      <c r="BZ351" s="179" t="s">
        <v>164</v>
      </c>
      <c r="CA351" s="179"/>
      <c r="CB351" s="179" t="s">
        <v>164</v>
      </c>
      <c r="CC351" s="179"/>
      <c r="CD351" s="179" t="s">
        <v>164</v>
      </c>
      <c r="CE351" s="165" t="s">
        <v>600</v>
      </c>
      <c r="CF351" s="165" t="s">
        <v>164</v>
      </c>
      <c r="CG351" s="165" t="s">
        <v>164</v>
      </c>
      <c r="CH351" s="165" t="s">
        <v>164</v>
      </c>
      <c r="CI351" s="165" t="s">
        <v>164</v>
      </c>
      <c r="CJ351" s="165" t="s">
        <v>164</v>
      </c>
      <c r="CK351" s="165" t="s">
        <v>164</v>
      </c>
      <c r="CL351" s="165" t="s">
        <v>164</v>
      </c>
      <c r="CM351" s="165" t="s">
        <v>164</v>
      </c>
      <c r="CN351" s="165" t="s">
        <v>164</v>
      </c>
      <c r="CO351" s="165" t="s">
        <v>164</v>
      </c>
      <c r="CP351" s="165" t="s">
        <v>164</v>
      </c>
      <c r="CQ351" s="165" t="s">
        <v>164</v>
      </c>
      <c r="CR351" s="165" t="s">
        <v>164</v>
      </c>
      <c r="CS351" s="165" t="s">
        <v>164</v>
      </c>
      <c r="CT351" s="165" t="s">
        <v>164</v>
      </c>
      <c r="CU351" s="165" t="s">
        <v>164</v>
      </c>
      <c r="CV351" s="165" t="s">
        <v>164</v>
      </c>
      <c r="CW351" s="185"/>
      <c r="CX351" s="185"/>
      <c r="CY351" s="185"/>
      <c r="CZ351" s="33"/>
      <c r="DA351" s="33" t="s">
        <v>164</v>
      </c>
      <c r="DB351" s="33" t="s">
        <v>164</v>
      </c>
      <c r="DC351" s="33" t="s">
        <v>164</v>
      </c>
      <c r="DD351" s="33" t="s">
        <v>164</v>
      </c>
      <c r="DE351" s="33" t="s">
        <v>164</v>
      </c>
      <c r="DF351" s="33" t="s">
        <v>164</v>
      </c>
      <c r="DG351" s="33" t="s">
        <v>164</v>
      </c>
      <c r="DH351" s="33" t="s">
        <v>164</v>
      </c>
      <c r="DI351" s="33" t="s">
        <v>164</v>
      </c>
    </row>
    <row r="352" ht="15.75" customHeight="1">
      <c r="B352" s="35"/>
      <c r="C352" s="35"/>
      <c r="D352" s="35"/>
      <c r="E352" s="35"/>
      <c r="F352" s="35"/>
      <c r="G352" s="35"/>
      <c r="H352" s="35"/>
      <c r="I352" s="35"/>
      <c r="J352" s="35" t="s">
        <v>657</v>
      </c>
      <c r="K352" s="87" t="s">
        <v>658</v>
      </c>
      <c r="L352" s="87"/>
      <c r="M352" s="87"/>
      <c r="N352" s="87" t="s">
        <v>658</v>
      </c>
      <c r="O352" s="21" t="s">
        <v>659</v>
      </c>
      <c r="P352" s="35"/>
      <c r="Q352" s="35" t="str">
        <f t="shared" si="24"/>
        <v>coarse-grained, homogeneous, whitish marble</v>
      </c>
      <c r="R352" s="35" t="s">
        <v>222</v>
      </c>
      <c r="S352" s="35" t="s">
        <v>281</v>
      </c>
      <c r="T352" s="35" t="s">
        <v>194</v>
      </c>
      <c r="U352" s="35" t="s">
        <v>195</v>
      </c>
      <c r="V352" s="35" t="s">
        <v>219</v>
      </c>
      <c r="W352" s="56" t="s">
        <v>190</v>
      </c>
      <c r="X352" s="35"/>
      <c r="Y352" s="35"/>
      <c r="Z352" s="35"/>
      <c r="AA352" s="165"/>
      <c r="AB352" s="165"/>
      <c r="AC352" s="86" t="s">
        <v>166</v>
      </c>
      <c r="AD352" s="35" t="s">
        <v>183</v>
      </c>
      <c r="AE352" s="171"/>
      <c r="AF352" s="165"/>
      <c r="AG352" s="165"/>
      <c r="AH352" s="165"/>
      <c r="AI352" s="165"/>
      <c r="AJ352" s="165"/>
      <c r="AK352" s="165"/>
      <c r="AL352" s="165"/>
      <c r="AM352" s="181"/>
      <c r="AN352" s="181"/>
      <c r="AO352" s="28">
        <f t="shared" si="25"/>
        <v>0</v>
      </c>
      <c r="AP352" s="181"/>
      <c r="AQ352" s="182"/>
      <c r="AR352" s="178"/>
      <c r="AS352" s="178"/>
      <c r="AT352" s="178"/>
      <c r="AU352" s="178"/>
      <c r="AV352" s="178"/>
      <c r="AW352" s="178"/>
      <c r="AX352" s="178"/>
      <c r="AY352" s="178"/>
      <c r="AZ352" s="178"/>
      <c r="BA352" s="178"/>
      <c r="BB352" s="178"/>
      <c r="BC352" s="178"/>
      <c r="BD352" s="178"/>
      <c r="BE352" s="165"/>
      <c r="BF352" s="165"/>
      <c r="BG352" s="165"/>
      <c r="BH352" s="165"/>
      <c r="BI352" s="179"/>
      <c r="BJ352" s="179"/>
      <c r="BK352" s="179"/>
      <c r="BL352" s="179"/>
      <c r="BM352" s="179"/>
      <c r="BN352" s="179"/>
      <c r="BO352" s="179"/>
      <c r="BP352" s="179"/>
      <c r="BQ352" s="179"/>
      <c r="BR352" s="179"/>
      <c r="BS352" s="188">
        <v>2500.0</v>
      </c>
      <c r="BT352" s="179"/>
      <c r="BU352" s="179"/>
      <c r="BV352" s="179"/>
      <c r="BW352" s="179"/>
      <c r="BX352" s="179" t="s">
        <v>164</v>
      </c>
      <c r="BY352" s="179"/>
      <c r="BZ352" s="179"/>
      <c r="CA352" s="179"/>
      <c r="CB352" s="179"/>
      <c r="CC352" s="179"/>
      <c r="CD352" s="179"/>
      <c r="CE352" s="165"/>
      <c r="CF352" s="165"/>
      <c r="CG352" s="165"/>
      <c r="CH352" s="165"/>
      <c r="CI352" s="165"/>
      <c r="CJ352" s="165"/>
      <c r="CK352" s="165"/>
      <c r="CL352" s="165"/>
      <c r="CM352" s="165"/>
      <c r="CN352" s="165"/>
      <c r="CO352" s="165"/>
      <c r="CP352" s="165"/>
      <c r="CQ352" s="165"/>
      <c r="CR352" s="165"/>
      <c r="CS352" s="165"/>
      <c r="CT352" s="165"/>
      <c r="CU352" s="165"/>
      <c r="CV352" s="165"/>
      <c r="CW352" s="185"/>
      <c r="CX352" s="185"/>
      <c r="CY352" s="185"/>
      <c r="CZ352" s="33"/>
      <c r="DA352" s="33"/>
      <c r="DB352" s="33"/>
      <c r="DC352" s="33"/>
      <c r="DD352" s="33"/>
      <c r="DE352" s="33"/>
      <c r="DF352" s="33"/>
      <c r="DG352" s="33"/>
      <c r="DH352" s="33"/>
      <c r="DI352" s="33"/>
      <c r="FA352" s="33"/>
      <c r="FB352" s="33"/>
      <c r="FC352" s="33"/>
      <c r="FD352" s="33"/>
      <c r="FE352" s="33"/>
      <c r="FF352" s="33"/>
      <c r="FG352" s="33"/>
      <c r="FH352" s="33"/>
      <c r="FI352" s="33"/>
      <c r="FJ352" s="33"/>
      <c r="FK352" s="33"/>
      <c r="FL352" s="33"/>
      <c r="FM352" s="33"/>
      <c r="FN352" s="33"/>
      <c r="FO352" s="33"/>
      <c r="FP352" s="33"/>
      <c r="FQ352" s="33"/>
      <c r="FR352" s="33"/>
      <c r="FS352" s="33"/>
      <c r="FT352" s="33"/>
      <c r="FU352" s="33"/>
      <c r="FV352" s="33"/>
      <c r="FW352" s="33"/>
      <c r="FX352" s="33"/>
      <c r="FY352" s="33"/>
      <c r="FZ352" s="33"/>
      <c r="GA352" s="33"/>
    </row>
    <row r="353" ht="15.75" customHeight="1">
      <c r="A353" s="86"/>
      <c r="B353" s="86"/>
      <c r="C353" s="165"/>
      <c r="D353" s="165"/>
      <c r="E353" s="165"/>
      <c r="F353" s="165"/>
      <c r="G353" s="165"/>
      <c r="H353" s="165"/>
      <c r="I353" s="165"/>
      <c r="J353" s="165" t="s">
        <v>581</v>
      </c>
      <c r="K353" s="87" t="s">
        <v>660</v>
      </c>
      <c r="L353" s="87"/>
      <c r="M353" s="87"/>
      <c r="N353" s="87" t="s">
        <v>660</v>
      </c>
      <c r="O353" s="177" t="s">
        <v>661</v>
      </c>
      <c r="P353" s="35"/>
      <c r="Q353" s="35" t="str">
        <f t="shared" si="24"/>
        <v>medium-grained, homogeneous, white/whitish marble</v>
      </c>
      <c r="R353" s="35" t="s">
        <v>205</v>
      </c>
      <c r="S353" s="35" t="s">
        <v>226</v>
      </c>
      <c r="T353" s="35" t="s">
        <v>194</v>
      </c>
      <c r="U353" s="165" t="s">
        <v>164</v>
      </c>
      <c r="V353" s="165" t="s">
        <v>190</v>
      </c>
      <c r="W353" s="56" t="s">
        <v>190</v>
      </c>
      <c r="X353" s="35" t="s">
        <v>164</v>
      </c>
      <c r="Y353" s="35" t="s">
        <v>164</v>
      </c>
      <c r="Z353" s="35" t="s">
        <v>164</v>
      </c>
      <c r="AA353" s="165"/>
      <c r="AB353" s="165"/>
      <c r="AC353" s="86" t="s">
        <v>166</v>
      </c>
      <c r="AD353" s="56" t="s">
        <v>191</v>
      </c>
      <c r="AE353" s="166" t="s">
        <v>213</v>
      </c>
      <c r="AF353" s="165" t="s">
        <v>164</v>
      </c>
      <c r="AG353" s="165" t="s">
        <v>166</v>
      </c>
      <c r="AH353" s="165" t="s">
        <v>164</v>
      </c>
      <c r="AI353" s="165" t="s">
        <v>164</v>
      </c>
      <c r="AJ353" s="165" t="s">
        <v>164</v>
      </c>
      <c r="AK353" s="165" t="s">
        <v>590</v>
      </c>
      <c r="AL353" s="165" t="s">
        <v>590</v>
      </c>
      <c r="AM353" s="178"/>
      <c r="AN353" s="178"/>
      <c r="AO353" s="28">
        <f t="shared" si="25"/>
        <v>0</v>
      </c>
      <c r="AP353" s="178" t="s">
        <v>164</v>
      </c>
      <c r="AQ353" s="178"/>
      <c r="AR353" s="178" t="s">
        <v>164</v>
      </c>
      <c r="AS353" s="178"/>
      <c r="AT353" s="178" t="s">
        <v>164</v>
      </c>
      <c r="AU353" s="178"/>
      <c r="AV353" s="178"/>
      <c r="AW353" s="178"/>
      <c r="AX353" s="178"/>
      <c r="AY353" s="178"/>
      <c r="AZ353" s="178"/>
      <c r="BA353" s="178"/>
      <c r="BB353" s="178"/>
      <c r="BC353" s="178"/>
      <c r="BD353" s="178"/>
      <c r="BE353" s="165" t="s">
        <v>164</v>
      </c>
      <c r="BF353" s="165" t="s">
        <v>164</v>
      </c>
      <c r="BG353" s="165" t="s">
        <v>164</v>
      </c>
      <c r="BH353" s="165" t="s">
        <v>164</v>
      </c>
      <c r="BI353" s="179"/>
      <c r="BJ353" s="179" t="s">
        <v>164</v>
      </c>
      <c r="BK353" s="179"/>
      <c r="BL353" s="179" t="s">
        <v>164</v>
      </c>
      <c r="BM353" s="179"/>
      <c r="BN353" s="179" t="s">
        <v>164</v>
      </c>
      <c r="BO353" s="179"/>
      <c r="BP353" s="179"/>
      <c r="BQ353" s="179"/>
      <c r="BR353" s="179" t="s">
        <v>164</v>
      </c>
      <c r="BS353" s="179"/>
      <c r="BT353" s="179" t="s">
        <v>164</v>
      </c>
      <c r="BU353" s="179"/>
      <c r="BV353" s="179"/>
      <c r="BW353" s="179"/>
      <c r="BX353" s="179" t="s">
        <v>164</v>
      </c>
      <c r="BY353" s="179"/>
      <c r="BZ353" s="179" t="s">
        <v>164</v>
      </c>
      <c r="CA353" s="179"/>
      <c r="CB353" s="179" t="s">
        <v>164</v>
      </c>
      <c r="CC353" s="179"/>
      <c r="CD353" s="179" t="s">
        <v>164</v>
      </c>
      <c r="CE353" s="165" t="s">
        <v>164</v>
      </c>
      <c r="CF353" s="165" t="s">
        <v>164</v>
      </c>
      <c r="CG353" s="165" t="s">
        <v>164</v>
      </c>
      <c r="CH353" s="165" t="s">
        <v>164</v>
      </c>
      <c r="CI353" s="165" t="s">
        <v>164</v>
      </c>
      <c r="CJ353" s="165" t="s">
        <v>164</v>
      </c>
      <c r="CK353" s="165" t="s">
        <v>164</v>
      </c>
      <c r="CL353" s="165" t="s">
        <v>164</v>
      </c>
      <c r="CM353" s="165" t="s">
        <v>585</v>
      </c>
      <c r="CN353" s="165" t="s">
        <v>164</v>
      </c>
      <c r="CO353" s="165" t="s">
        <v>164</v>
      </c>
      <c r="CP353" s="165" t="s">
        <v>164</v>
      </c>
      <c r="CQ353" s="165" t="s">
        <v>164</v>
      </c>
      <c r="CR353" s="165" t="s">
        <v>164</v>
      </c>
      <c r="CS353" s="165" t="s">
        <v>164</v>
      </c>
      <c r="CT353" s="165" t="s">
        <v>164</v>
      </c>
      <c r="CU353" s="165" t="s">
        <v>164</v>
      </c>
      <c r="CV353" s="165" t="s">
        <v>164</v>
      </c>
      <c r="CW353" s="185"/>
      <c r="CX353" s="185"/>
      <c r="CY353" s="185"/>
      <c r="CZ353" s="33"/>
      <c r="DA353" s="33" t="s">
        <v>164</v>
      </c>
      <c r="DB353" s="33" t="s">
        <v>164</v>
      </c>
      <c r="DC353" s="33" t="s">
        <v>164</v>
      </c>
      <c r="DD353" s="33" t="s">
        <v>164</v>
      </c>
      <c r="DE353" s="33" t="s">
        <v>164</v>
      </c>
      <c r="DF353" s="33" t="s">
        <v>164</v>
      </c>
      <c r="DG353" s="33" t="s">
        <v>164</v>
      </c>
      <c r="DH353" s="33" t="s">
        <v>164</v>
      </c>
      <c r="DI353" s="33" t="s">
        <v>164</v>
      </c>
      <c r="DJ353" s="134"/>
      <c r="DK353" s="63"/>
      <c r="DL353" s="63"/>
      <c r="DM353" s="63"/>
      <c r="DN353" s="63"/>
      <c r="DO353" s="63"/>
      <c r="DP353" s="63"/>
      <c r="DQ353" s="63"/>
      <c r="DR353" s="63"/>
      <c r="DS353" s="63"/>
      <c r="DT353" s="63"/>
      <c r="DU353" s="63"/>
      <c r="DV353" s="63"/>
      <c r="DW353" s="63"/>
      <c r="DX353" s="63"/>
      <c r="DY353" s="63"/>
      <c r="DZ353" s="63"/>
      <c r="EA353" s="63"/>
      <c r="EB353" s="63"/>
      <c r="EC353" s="63"/>
      <c r="ED353" s="63"/>
      <c r="EE353" s="63"/>
      <c r="EF353" s="63"/>
      <c r="EG353" s="63"/>
      <c r="EH353" s="63"/>
      <c r="EI353" s="63"/>
      <c r="EJ353" s="63"/>
      <c r="EK353" s="63"/>
      <c r="EL353" s="63"/>
      <c r="EM353" s="63"/>
      <c r="EN353" s="63"/>
      <c r="EO353" s="63"/>
      <c r="EP353" s="63"/>
      <c r="EQ353" s="63"/>
      <c r="ER353" s="63"/>
      <c r="ES353" s="63"/>
      <c r="ET353" s="63"/>
      <c r="EU353" s="63"/>
      <c r="EV353" s="63"/>
      <c r="EW353" s="63"/>
      <c r="EX353" s="63"/>
      <c r="EY353" s="63"/>
      <c r="EZ353" s="33"/>
    </row>
    <row r="354" ht="15.75" customHeight="1">
      <c r="A354" s="86"/>
      <c r="B354" s="86"/>
      <c r="C354" s="165"/>
      <c r="D354" s="165"/>
      <c r="E354" s="165"/>
      <c r="F354" s="165"/>
      <c r="G354" s="165"/>
      <c r="H354" s="165"/>
      <c r="I354" s="165"/>
      <c r="J354" s="165" t="s">
        <v>581</v>
      </c>
      <c r="K354" s="87" t="s">
        <v>225</v>
      </c>
      <c r="L354" s="87"/>
      <c r="M354" s="87"/>
      <c r="N354" s="87" t="s">
        <v>225</v>
      </c>
      <c r="O354" s="180" t="s">
        <v>602</v>
      </c>
      <c r="P354" s="35"/>
      <c r="Q354" s="35" t="str">
        <f t="shared" si="24"/>
        <v>very fine-grained, banded and veined, white/whitish  marble</v>
      </c>
      <c r="R354" s="35" t="s">
        <v>188</v>
      </c>
      <c r="S354" s="35" t="s">
        <v>603</v>
      </c>
      <c r="T354" s="35" t="s">
        <v>243</v>
      </c>
      <c r="U354" s="35" t="s">
        <v>244</v>
      </c>
      <c r="V354" s="165" t="s">
        <v>190</v>
      </c>
      <c r="W354" s="56" t="s">
        <v>190</v>
      </c>
      <c r="X354" s="35" t="s">
        <v>164</v>
      </c>
      <c r="Y354" s="35" t="s">
        <v>164</v>
      </c>
      <c r="Z354" s="35" t="s">
        <v>164</v>
      </c>
      <c r="AA354" s="165"/>
      <c r="AB354" s="165"/>
      <c r="AC354" s="86" t="s">
        <v>166</v>
      </c>
      <c r="AD354" s="56" t="s">
        <v>196</v>
      </c>
      <c r="AE354" s="166" t="s">
        <v>245</v>
      </c>
      <c r="AF354" s="165" t="s">
        <v>166</v>
      </c>
      <c r="AG354" s="165" t="s">
        <v>166</v>
      </c>
      <c r="AH354" s="165" t="s">
        <v>164</v>
      </c>
      <c r="AI354" s="165" t="s">
        <v>164</v>
      </c>
      <c r="AJ354" s="165" t="s">
        <v>164</v>
      </c>
      <c r="AK354" s="165" t="s">
        <v>164</v>
      </c>
      <c r="AL354" s="165" t="s">
        <v>164</v>
      </c>
      <c r="AM354" s="178"/>
      <c r="AN354" s="178"/>
      <c r="AO354" s="28">
        <f t="shared" si="25"/>
        <v>0</v>
      </c>
      <c r="AP354" s="178" t="s">
        <v>164</v>
      </c>
      <c r="AQ354" s="178"/>
      <c r="AR354" s="178" t="s">
        <v>164</v>
      </c>
      <c r="AS354" s="178"/>
      <c r="AT354" s="178" t="s">
        <v>164</v>
      </c>
      <c r="AU354" s="178"/>
      <c r="AV354" s="178"/>
      <c r="AW354" s="178"/>
      <c r="AX354" s="178"/>
      <c r="AY354" s="178"/>
      <c r="AZ354" s="178"/>
      <c r="BA354" s="178"/>
      <c r="BB354" s="178"/>
      <c r="BC354" s="178"/>
      <c r="BD354" s="178"/>
      <c r="BE354" s="165" t="s">
        <v>164</v>
      </c>
      <c r="BF354" s="165" t="s">
        <v>164</v>
      </c>
      <c r="BG354" s="165" t="s">
        <v>164</v>
      </c>
      <c r="BH354" s="165" t="s">
        <v>164</v>
      </c>
      <c r="BI354" s="179"/>
      <c r="BJ354" s="179" t="s">
        <v>164</v>
      </c>
      <c r="BK354" s="179"/>
      <c r="BL354" s="179" t="s">
        <v>164</v>
      </c>
      <c r="BM354" s="179"/>
      <c r="BN354" s="179" t="s">
        <v>164</v>
      </c>
      <c r="BO354" s="179"/>
      <c r="BP354" s="179"/>
      <c r="BQ354" s="179"/>
      <c r="BR354" s="179" t="s">
        <v>164</v>
      </c>
      <c r="BS354" s="179"/>
      <c r="BT354" s="179" t="s">
        <v>164</v>
      </c>
      <c r="BU354" s="179"/>
      <c r="BV354" s="179"/>
      <c r="BW354" s="179"/>
      <c r="BX354" s="179" t="s">
        <v>164</v>
      </c>
      <c r="BY354" s="179"/>
      <c r="BZ354" s="179" t="s">
        <v>164</v>
      </c>
      <c r="CA354" s="179"/>
      <c r="CB354" s="179" t="s">
        <v>164</v>
      </c>
      <c r="CC354" s="179"/>
      <c r="CD354" s="179" t="s">
        <v>164</v>
      </c>
      <c r="CE354" s="165" t="s">
        <v>585</v>
      </c>
      <c r="CF354" s="165" t="s">
        <v>585</v>
      </c>
      <c r="CG354" s="165" t="s">
        <v>585</v>
      </c>
      <c r="CH354" s="165" t="s">
        <v>585</v>
      </c>
      <c r="CI354" s="165" t="s">
        <v>585</v>
      </c>
      <c r="CJ354" s="165" t="s">
        <v>164</v>
      </c>
      <c r="CK354" s="165" t="s">
        <v>164</v>
      </c>
      <c r="CL354" s="165" t="s">
        <v>164</v>
      </c>
      <c r="CM354" s="165" t="s">
        <v>164</v>
      </c>
      <c r="CN354" s="165" t="s">
        <v>164</v>
      </c>
      <c r="CO354" s="165" t="s">
        <v>164</v>
      </c>
      <c r="CP354" s="165" t="s">
        <v>164</v>
      </c>
      <c r="CQ354" s="165" t="s">
        <v>164</v>
      </c>
      <c r="CR354" s="165" t="s">
        <v>164</v>
      </c>
      <c r="CS354" s="165" t="s">
        <v>164</v>
      </c>
      <c r="CT354" s="165" t="s">
        <v>164</v>
      </c>
      <c r="CU354" s="165" t="s">
        <v>164</v>
      </c>
      <c r="CV354" s="165" t="s">
        <v>164</v>
      </c>
      <c r="CW354" s="185"/>
      <c r="CX354" s="185"/>
      <c r="CY354" s="185"/>
      <c r="CZ354" s="33"/>
      <c r="DA354" s="33" t="s">
        <v>164</v>
      </c>
      <c r="DB354" s="33" t="s">
        <v>164</v>
      </c>
      <c r="DC354" s="33" t="s">
        <v>164</v>
      </c>
      <c r="DD354" s="33" t="s">
        <v>164</v>
      </c>
      <c r="DE354" s="33" t="s">
        <v>164</v>
      </c>
      <c r="DF354" s="33" t="s">
        <v>164</v>
      </c>
      <c r="DG354" s="33" t="s">
        <v>164</v>
      </c>
      <c r="DH354" s="33" t="s">
        <v>164</v>
      </c>
      <c r="DI354" s="33" t="s">
        <v>164</v>
      </c>
      <c r="FA354" s="33"/>
      <c r="FB354" s="33"/>
      <c r="FC354" s="33"/>
      <c r="FD354" s="33"/>
      <c r="FE354" s="33"/>
      <c r="FF354" s="33"/>
      <c r="FG354" s="33"/>
      <c r="FH354" s="33"/>
      <c r="FI354" s="33"/>
      <c r="FJ354" s="33"/>
      <c r="FK354" s="33"/>
      <c r="FL354" s="33"/>
      <c r="FM354" s="33"/>
      <c r="FN354" s="33"/>
      <c r="FO354" s="33"/>
      <c r="FP354" s="33"/>
      <c r="FQ354" s="33"/>
      <c r="FR354" s="33"/>
      <c r="FS354" s="33"/>
      <c r="FT354" s="33"/>
      <c r="FU354" s="33"/>
      <c r="FV354" s="33"/>
      <c r="FW354" s="33"/>
      <c r="FX354" s="33"/>
      <c r="FY354" s="33"/>
      <c r="FZ354" s="33"/>
      <c r="GA354" s="33"/>
    </row>
    <row r="355" ht="15.75" customHeight="1">
      <c r="A355" s="86"/>
      <c r="B355" s="86"/>
      <c r="C355" s="165"/>
      <c r="D355" s="165"/>
      <c r="E355" s="165"/>
      <c r="F355" s="165"/>
      <c r="G355" s="165"/>
      <c r="H355" s="165"/>
      <c r="I355" s="165"/>
      <c r="J355" s="165" t="s">
        <v>581</v>
      </c>
      <c r="K355" s="87" t="s">
        <v>201</v>
      </c>
      <c r="L355" s="87"/>
      <c r="M355" s="87"/>
      <c r="N355" s="87" t="s">
        <v>201</v>
      </c>
      <c r="O355" s="177" t="s">
        <v>609</v>
      </c>
      <c r="P355" s="35"/>
      <c r="Q355" s="35" t="str">
        <f t="shared" si="24"/>
        <v>medium-grained, homogeneous, white/whitish marble</v>
      </c>
      <c r="R355" s="35" t="s">
        <v>205</v>
      </c>
      <c r="S355" s="35" t="s">
        <v>226</v>
      </c>
      <c r="T355" s="35" t="s">
        <v>194</v>
      </c>
      <c r="U355" s="165" t="s">
        <v>164</v>
      </c>
      <c r="V355" s="165" t="s">
        <v>190</v>
      </c>
      <c r="W355" s="56" t="s">
        <v>190</v>
      </c>
      <c r="X355" s="35" t="s">
        <v>164</v>
      </c>
      <c r="Y355" s="35" t="s">
        <v>164</v>
      </c>
      <c r="Z355" s="35" t="s">
        <v>164</v>
      </c>
      <c r="AA355" s="165"/>
      <c r="AB355" s="165"/>
      <c r="AC355" s="86" t="s">
        <v>166</v>
      </c>
      <c r="AD355" s="56" t="s">
        <v>191</v>
      </c>
      <c r="AE355" s="166" t="s">
        <v>213</v>
      </c>
      <c r="AF355" s="165" t="s">
        <v>164</v>
      </c>
      <c r="AG355" s="165" t="s">
        <v>166</v>
      </c>
      <c r="AH355" s="165" t="s">
        <v>164</v>
      </c>
      <c r="AI355" s="165" t="s">
        <v>164</v>
      </c>
      <c r="AJ355" s="165" t="s">
        <v>164</v>
      </c>
      <c r="AK355" s="165" t="s">
        <v>590</v>
      </c>
      <c r="AL355" s="165" t="s">
        <v>590</v>
      </c>
      <c r="AM355" s="178"/>
      <c r="AN355" s="178"/>
      <c r="AO355" s="28">
        <f t="shared" si="25"/>
        <v>0</v>
      </c>
      <c r="AP355" s="178" t="s">
        <v>164</v>
      </c>
      <c r="AQ355" s="178"/>
      <c r="AR355" s="178" t="s">
        <v>164</v>
      </c>
      <c r="AS355" s="178"/>
      <c r="AT355" s="178" t="s">
        <v>164</v>
      </c>
      <c r="AU355" s="178"/>
      <c r="AV355" s="178"/>
      <c r="AW355" s="178"/>
      <c r="AX355" s="178"/>
      <c r="AY355" s="178"/>
      <c r="AZ355" s="178"/>
      <c r="BA355" s="178"/>
      <c r="BB355" s="178"/>
      <c r="BC355" s="178"/>
      <c r="BD355" s="178"/>
      <c r="BE355" s="165" t="s">
        <v>164</v>
      </c>
      <c r="BF355" s="165" t="s">
        <v>164</v>
      </c>
      <c r="BG355" s="165" t="s">
        <v>164</v>
      </c>
      <c r="BH355" s="165" t="s">
        <v>164</v>
      </c>
      <c r="BI355" s="179"/>
      <c r="BJ355" s="179" t="s">
        <v>164</v>
      </c>
      <c r="BK355" s="179"/>
      <c r="BL355" s="179" t="s">
        <v>164</v>
      </c>
      <c r="BM355" s="179"/>
      <c r="BN355" s="179" t="s">
        <v>164</v>
      </c>
      <c r="BO355" s="179"/>
      <c r="BP355" s="179"/>
      <c r="BQ355" s="179"/>
      <c r="BR355" s="179" t="s">
        <v>164</v>
      </c>
      <c r="BS355" s="179"/>
      <c r="BT355" s="179" t="s">
        <v>164</v>
      </c>
      <c r="BU355" s="179"/>
      <c r="BV355" s="179"/>
      <c r="BW355" s="179"/>
      <c r="BX355" s="179" t="s">
        <v>164</v>
      </c>
      <c r="BY355" s="179"/>
      <c r="BZ355" s="179" t="s">
        <v>164</v>
      </c>
      <c r="CA355" s="179"/>
      <c r="CB355" s="179" t="s">
        <v>164</v>
      </c>
      <c r="CC355" s="179"/>
      <c r="CD355" s="179" t="s">
        <v>164</v>
      </c>
      <c r="CE355" s="165" t="s">
        <v>164</v>
      </c>
      <c r="CF355" s="165" t="s">
        <v>164</v>
      </c>
      <c r="CG355" s="165" t="s">
        <v>164</v>
      </c>
      <c r="CH355" s="165" t="s">
        <v>164</v>
      </c>
      <c r="CI355" s="165" t="s">
        <v>164</v>
      </c>
      <c r="CJ355" s="165" t="s">
        <v>164</v>
      </c>
      <c r="CK355" s="165" t="s">
        <v>164</v>
      </c>
      <c r="CL355" s="165" t="s">
        <v>164</v>
      </c>
      <c r="CM355" s="165" t="s">
        <v>585</v>
      </c>
      <c r="CN355" s="165" t="s">
        <v>164</v>
      </c>
      <c r="CO355" s="165" t="s">
        <v>164</v>
      </c>
      <c r="CP355" s="165" t="s">
        <v>164</v>
      </c>
      <c r="CQ355" s="165" t="s">
        <v>164</v>
      </c>
      <c r="CR355" s="165" t="s">
        <v>164</v>
      </c>
      <c r="CS355" s="165" t="s">
        <v>164</v>
      </c>
      <c r="CT355" s="165" t="s">
        <v>164</v>
      </c>
      <c r="CU355" s="165" t="s">
        <v>164</v>
      </c>
      <c r="CV355" s="165" t="s">
        <v>164</v>
      </c>
      <c r="CW355" s="185"/>
      <c r="CX355" s="185"/>
      <c r="CY355" s="185"/>
      <c r="CZ355" s="33"/>
      <c r="DA355" s="33" t="s">
        <v>164</v>
      </c>
      <c r="DB355" s="33" t="s">
        <v>164</v>
      </c>
      <c r="DC355" s="33" t="s">
        <v>164</v>
      </c>
      <c r="DD355" s="33" t="s">
        <v>164</v>
      </c>
      <c r="DE355" s="33" t="s">
        <v>164</v>
      </c>
      <c r="DF355" s="33" t="s">
        <v>164</v>
      </c>
      <c r="DG355" s="33" t="s">
        <v>164</v>
      </c>
      <c r="DH355" s="33" t="s">
        <v>164</v>
      </c>
      <c r="DI355" s="33" t="s">
        <v>164</v>
      </c>
    </row>
    <row r="356" ht="15.75" customHeight="1">
      <c r="A356" s="86"/>
      <c r="B356" s="86"/>
      <c r="C356" s="165"/>
      <c r="D356" s="165"/>
      <c r="E356" s="165"/>
      <c r="F356" s="165"/>
      <c r="G356" s="165"/>
      <c r="H356" s="165"/>
      <c r="I356" s="165"/>
      <c r="J356" s="165" t="s">
        <v>581</v>
      </c>
      <c r="K356" s="87" t="s">
        <v>625</v>
      </c>
      <c r="L356" s="87"/>
      <c r="M356" s="87"/>
      <c r="N356" s="87" t="s">
        <v>625</v>
      </c>
      <c r="O356" s="177" t="s">
        <v>626</v>
      </c>
      <c r="P356" s="35"/>
      <c r="Q356" s="35" t="str">
        <f t="shared" si="24"/>
        <v>medium-grained, homogeneous, white/whitish marble</v>
      </c>
      <c r="R356" s="35" t="s">
        <v>205</v>
      </c>
      <c r="S356" s="35" t="s">
        <v>226</v>
      </c>
      <c r="T356" s="35" t="s">
        <v>194</v>
      </c>
      <c r="U356" s="165" t="s">
        <v>164</v>
      </c>
      <c r="V356" s="165" t="s">
        <v>190</v>
      </c>
      <c r="W356" s="56" t="s">
        <v>190</v>
      </c>
      <c r="X356" s="35" t="s">
        <v>164</v>
      </c>
      <c r="Y356" s="35" t="s">
        <v>164</v>
      </c>
      <c r="Z356" s="35" t="s">
        <v>164</v>
      </c>
      <c r="AA356" s="165"/>
      <c r="AB356" s="165"/>
      <c r="AC356" s="86" t="s">
        <v>166</v>
      </c>
      <c r="AD356" s="56" t="s">
        <v>191</v>
      </c>
      <c r="AE356" s="166" t="s">
        <v>184</v>
      </c>
      <c r="AF356" s="165" t="s">
        <v>164</v>
      </c>
      <c r="AG356" s="165" t="s">
        <v>164</v>
      </c>
      <c r="AH356" s="165" t="s">
        <v>164</v>
      </c>
      <c r="AI356" s="165" t="s">
        <v>166</v>
      </c>
      <c r="AJ356" s="165" t="s">
        <v>166</v>
      </c>
      <c r="AK356" s="165" t="s">
        <v>166</v>
      </c>
      <c r="AL356" s="165" t="s">
        <v>166</v>
      </c>
      <c r="AM356" s="178"/>
      <c r="AN356" s="178"/>
      <c r="AO356" s="28">
        <f t="shared" si="25"/>
        <v>0</v>
      </c>
      <c r="AP356" s="178" t="s">
        <v>164</v>
      </c>
      <c r="AQ356" s="178"/>
      <c r="AR356" s="178" t="s">
        <v>164</v>
      </c>
      <c r="AS356" s="178"/>
      <c r="AT356" s="178" t="s">
        <v>164</v>
      </c>
      <c r="AU356" s="178"/>
      <c r="AV356" s="178"/>
      <c r="AW356" s="178"/>
      <c r="AX356" s="178"/>
      <c r="AY356" s="178"/>
      <c r="AZ356" s="178"/>
      <c r="BA356" s="178"/>
      <c r="BB356" s="178"/>
      <c r="BC356" s="178"/>
      <c r="BD356" s="178"/>
      <c r="BE356" s="165" t="s">
        <v>164</v>
      </c>
      <c r="BF356" s="165" t="s">
        <v>164</v>
      </c>
      <c r="BG356" s="165" t="s">
        <v>164</v>
      </c>
      <c r="BH356" s="165" t="s">
        <v>164</v>
      </c>
      <c r="BI356" s="179"/>
      <c r="BJ356" s="179" t="s">
        <v>164</v>
      </c>
      <c r="BK356" s="179"/>
      <c r="BL356" s="179" t="s">
        <v>164</v>
      </c>
      <c r="BM356" s="179"/>
      <c r="BN356" s="179" t="s">
        <v>164</v>
      </c>
      <c r="BO356" s="179"/>
      <c r="BP356" s="179"/>
      <c r="BQ356" s="179"/>
      <c r="BR356" s="179" t="s">
        <v>164</v>
      </c>
      <c r="BS356" s="179"/>
      <c r="BT356" s="179" t="s">
        <v>164</v>
      </c>
      <c r="BU356" s="179"/>
      <c r="BV356" s="179"/>
      <c r="BW356" s="179"/>
      <c r="BX356" s="179" t="s">
        <v>164</v>
      </c>
      <c r="BY356" s="179"/>
      <c r="BZ356" s="179" t="s">
        <v>164</v>
      </c>
      <c r="CA356" s="179"/>
      <c r="CB356" s="179" t="s">
        <v>164</v>
      </c>
      <c r="CC356" s="179"/>
      <c r="CD356" s="179" t="s">
        <v>164</v>
      </c>
      <c r="CE356" s="165" t="s">
        <v>585</v>
      </c>
      <c r="CF356" s="165" t="s">
        <v>164</v>
      </c>
      <c r="CG356" s="165" t="s">
        <v>164</v>
      </c>
      <c r="CH356" s="165" t="s">
        <v>164</v>
      </c>
      <c r="CI356" s="165" t="s">
        <v>164</v>
      </c>
      <c r="CJ356" s="165" t="s">
        <v>164</v>
      </c>
      <c r="CK356" s="165" t="s">
        <v>164</v>
      </c>
      <c r="CL356" s="165" t="s">
        <v>164</v>
      </c>
      <c r="CM356" s="165" t="s">
        <v>164</v>
      </c>
      <c r="CN356" s="165" t="s">
        <v>164</v>
      </c>
      <c r="CO356" s="165" t="s">
        <v>164</v>
      </c>
      <c r="CP356" s="165" t="s">
        <v>164</v>
      </c>
      <c r="CQ356" s="165" t="s">
        <v>164</v>
      </c>
      <c r="CR356" s="165" t="s">
        <v>164</v>
      </c>
      <c r="CS356" s="165" t="s">
        <v>164</v>
      </c>
      <c r="CT356" s="165" t="s">
        <v>164</v>
      </c>
      <c r="CU356" s="165" t="s">
        <v>164</v>
      </c>
      <c r="CV356" s="165" t="s">
        <v>164</v>
      </c>
      <c r="CW356" s="185"/>
      <c r="CX356" s="185"/>
      <c r="CY356" s="185"/>
      <c r="CZ356" s="33"/>
      <c r="DA356" s="33" t="s">
        <v>164</v>
      </c>
      <c r="DB356" s="33" t="s">
        <v>164</v>
      </c>
      <c r="DC356" s="33" t="s">
        <v>164</v>
      </c>
      <c r="DD356" s="33" t="s">
        <v>164</v>
      </c>
      <c r="DE356" s="33" t="s">
        <v>164</v>
      </c>
      <c r="DF356" s="33" t="s">
        <v>164</v>
      </c>
      <c r="DG356" s="33" t="s">
        <v>164</v>
      </c>
      <c r="DH356" s="33" t="s">
        <v>164</v>
      </c>
      <c r="DI356" s="33" t="s">
        <v>164</v>
      </c>
      <c r="DJ356" s="134"/>
      <c r="DK356" s="63"/>
      <c r="DL356" s="63"/>
      <c r="DM356" s="63"/>
      <c r="DN356" s="63"/>
      <c r="DO356" s="63"/>
      <c r="DP356" s="63"/>
      <c r="DQ356" s="63"/>
      <c r="DR356" s="63"/>
      <c r="DS356" s="63"/>
      <c r="DT356" s="63"/>
      <c r="DU356" s="63"/>
      <c r="DV356" s="63"/>
      <c r="DW356" s="63"/>
      <c r="DX356" s="63"/>
      <c r="DY356" s="63"/>
      <c r="DZ356" s="63"/>
      <c r="EA356" s="63"/>
      <c r="EB356" s="63"/>
      <c r="EC356" s="63"/>
      <c r="ED356" s="63"/>
      <c r="EE356" s="63"/>
      <c r="EF356" s="63"/>
      <c r="EG356" s="63"/>
      <c r="EH356" s="63"/>
      <c r="EI356" s="63"/>
      <c r="EJ356" s="63"/>
      <c r="EK356" s="63"/>
      <c r="EL356" s="63"/>
      <c r="EM356" s="63"/>
      <c r="EN356" s="63"/>
      <c r="EO356" s="63"/>
      <c r="EP356" s="63"/>
      <c r="EQ356" s="63"/>
      <c r="ER356" s="63"/>
      <c r="ES356" s="63"/>
      <c r="ET356" s="63"/>
      <c r="EU356" s="63"/>
      <c r="EV356" s="63"/>
      <c r="EW356" s="63"/>
      <c r="EX356" s="63"/>
      <c r="EY356" s="63"/>
      <c r="EZ356" s="33"/>
    </row>
    <row r="357" ht="15.75" customHeight="1">
      <c r="A357" s="86"/>
      <c r="B357" s="86"/>
      <c r="C357" s="165"/>
      <c r="D357" s="165"/>
      <c r="E357" s="165"/>
      <c r="F357" s="165"/>
      <c r="G357" s="165"/>
      <c r="H357" s="165"/>
      <c r="I357" s="165"/>
      <c r="J357" s="165" t="s">
        <v>581</v>
      </c>
      <c r="K357" s="87" t="s">
        <v>203</v>
      </c>
      <c r="L357" s="87"/>
      <c r="M357" s="87"/>
      <c r="N357" s="87" t="s">
        <v>203</v>
      </c>
      <c r="O357" s="177" t="s">
        <v>640</v>
      </c>
      <c r="P357" s="35"/>
      <c r="Q357" s="35" t="str">
        <f t="shared" si="24"/>
        <v>fine-grained, homogeneous, white/whitish marble</v>
      </c>
      <c r="R357" s="35" t="s">
        <v>180</v>
      </c>
      <c r="S357" s="35" t="s">
        <v>226</v>
      </c>
      <c r="T357" s="35" t="s">
        <v>194</v>
      </c>
      <c r="U357" s="165" t="s">
        <v>164</v>
      </c>
      <c r="V357" s="165" t="s">
        <v>190</v>
      </c>
      <c r="W357" s="56" t="s">
        <v>190</v>
      </c>
      <c r="X357" s="35" t="s">
        <v>164</v>
      </c>
      <c r="Y357" s="35" t="s">
        <v>164</v>
      </c>
      <c r="Z357" s="35" t="s">
        <v>164</v>
      </c>
      <c r="AA357" s="165"/>
      <c r="AB357" s="165"/>
      <c r="AC357" s="86" t="s">
        <v>166</v>
      </c>
      <c r="AD357" s="190" t="s">
        <v>383</v>
      </c>
      <c r="AE357" s="166" t="s">
        <v>198</v>
      </c>
      <c r="AF357" s="165" t="s">
        <v>164</v>
      </c>
      <c r="AG357" s="165" t="s">
        <v>166</v>
      </c>
      <c r="AH357" s="165" t="s">
        <v>164</v>
      </c>
      <c r="AI357" s="165" t="s">
        <v>164</v>
      </c>
      <c r="AJ357" s="165" t="s">
        <v>164</v>
      </c>
      <c r="AK357" s="165" t="s">
        <v>164</v>
      </c>
      <c r="AL357" s="165" t="s">
        <v>164</v>
      </c>
      <c r="AM357" s="178"/>
      <c r="AN357" s="178"/>
      <c r="AO357" s="28">
        <f t="shared" si="25"/>
        <v>0</v>
      </c>
      <c r="AP357" s="178" t="s">
        <v>164</v>
      </c>
      <c r="AQ357" s="178"/>
      <c r="AR357" s="178" t="s">
        <v>164</v>
      </c>
      <c r="AS357" s="178"/>
      <c r="AT357" s="178" t="s">
        <v>164</v>
      </c>
      <c r="AU357" s="178"/>
      <c r="AV357" s="178"/>
      <c r="AW357" s="178"/>
      <c r="AX357" s="178"/>
      <c r="AY357" s="178"/>
      <c r="AZ357" s="178"/>
      <c r="BA357" s="178"/>
      <c r="BB357" s="178"/>
      <c r="BC357" s="178"/>
      <c r="BD357" s="178"/>
      <c r="BE357" s="165" t="s">
        <v>164</v>
      </c>
      <c r="BF357" s="165" t="s">
        <v>164</v>
      </c>
      <c r="BG357" s="165" t="s">
        <v>164</v>
      </c>
      <c r="BH357" s="165" t="s">
        <v>164</v>
      </c>
      <c r="BI357" s="179"/>
      <c r="BJ357" s="179" t="s">
        <v>164</v>
      </c>
      <c r="BK357" s="179"/>
      <c r="BL357" s="179" t="s">
        <v>164</v>
      </c>
      <c r="BM357" s="179"/>
      <c r="BN357" s="179" t="s">
        <v>164</v>
      </c>
      <c r="BO357" s="179"/>
      <c r="BP357" s="179"/>
      <c r="BQ357" s="179"/>
      <c r="BR357" s="179" t="s">
        <v>164</v>
      </c>
      <c r="BS357" s="179"/>
      <c r="BT357" s="179" t="s">
        <v>164</v>
      </c>
      <c r="BU357" s="179"/>
      <c r="BV357" s="179"/>
      <c r="BW357" s="179"/>
      <c r="BX357" s="179" t="s">
        <v>164</v>
      </c>
      <c r="BY357" s="179"/>
      <c r="BZ357" s="179" t="s">
        <v>164</v>
      </c>
      <c r="CA357" s="179"/>
      <c r="CB357" s="179" t="s">
        <v>164</v>
      </c>
      <c r="CC357" s="179"/>
      <c r="CD357" s="179" t="s">
        <v>164</v>
      </c>
      <c r="CE357" s="165" t="s">
        <v>164</v>
      </c>
      <c r="CF357" s="165" t="s">
        <v>164</v>
      </c>
      <c r="CG357" s="165" t="s">
        <v>164</v>
      </c>
      <c r="CH357" s="165" t="s">
        <v>164</v>
      </c>
      <c r="CI357" s="165" t="s">
        <v>164</v>
      </c>
      <c r="CJ357" s="165" t="s">
        <v>585</v>
      </c>
      <c r="CK357" s="165" t="s">
        <v>585</v>
      </c>
      <c r="CL357" s="165" t="s">
        <v>585</v>
      </c>
      <c r="CM357" s="165" t="s">
        <v>585</v>
      </c>
      <c r="CN357" s="165" t="s">
        <v>164</v>
      </c>
      <c r="CO357" s="165" t="s">
        <v>164</v>
      </c>
      <c r="CP357" s="165" t="s">
        <v>164</v>
      </c>
      <c r="CQ357" s="165" t="s">
        <v>164</v>
      </c>
      <c r="CR357" s="165" t="s">
        <v>164</v>
      </c>
      <c r="CS357" s="165" t="s">
        <v>164</v>
      </c>
      <c r="CT357" s="165" t="s">
        <v>164</v>
      </c>
      <c r="CU357" s="165" t="s">
        <v>164</v>
      </c>
      <c r="CV357" s="165" t="s">
        <v>164</v>
      </c>
      <c r="CW357" s="185"/>
      <c r="CX357" s="185"/>
      <c r="CY357" s="185"/>
      <c r="CZ357" s="33"/>
      <c r="DA357" s="33" t="s">
        <v>164</v>
      </c>
      <c r="DB357" s="33" t="s">
        <v>164</v>
      </c>
      <c r="DC357" s="33" t="s">
        <v>164</v>
      </c>
      <c r="DD357" s="33" t="s">
        <v>164</v>
      </c>
      <c r="DE357" s="33" t="s">
        <v>164</v>
      </c>
      <c r="DF357" s="33" t="s">
        <v>164</v>
      </c>
      <c r="DG357" s="33" t="s">
        <v>164</v>
      </c>
      <c r="DH357" s="33" t="s">
        <v>164</v>
      </c>
      <c r="DI357" s="33" t="s">
        <v>164</v>
      </c>
    </row>
    <row r="358" ht="15.75" customHeight="1">
      <c r="B358" s="165"/>
      <c r="C358" s="165"/>
      <c r="D358" s="165"/>
      <c r="E358" s="165"/>
      <c r="F358" s="165"/>
      <c r="G358" s="165"/>
      <c r="H358" s="165"/>
      <c r="I358" s="165"/>
      <c r="J358" s="165" t="s">
        <v>662</v>
      </c>
      <c r="K358" s="87" t="s">
        <v>218</v>
      </c>
      <c r="L358" s="87"/>
      <c r="M358" s="87"/>
      <c r="N358" s="87" t="s">
        <v>218</v>
      </c>
      <c r="O358" s="180" t="s">
        <v>663</v>
      </c>
      <c r="P358" s="35"/>
      <c r="Q358" s="35" t="str">
        <f t="shared" si="24"/>
        <v>fine-grained, banded, grey/greyish marble</v>
      </c>
      <c r="R358" s="35" t="s">
        <v>180</v>
      </c>
      <c r="S358" s="35" t="s">
        <v>619</v>
      </c>
      <c r="T358" s="35" t="s">
        <v>182</v>
      </c>
      <c r="U358" s="165" t="s">
        <v>164</v>
      </c>
      <c r="V358" s="165" t="s">
        <v>190</v>
      </c>
      <c r="W358" s="56" t="s">
        <v>190</v>
      </c>
      <c r="X358" s="35" t="s">
        <v>164</v>
      </c>
      <c r="Y358" s="35" t="s">
        <v>164</v>
      </c>
      <c r="Z358" s="35" t="s">
        <v>164</v>
      </c>
      <c r="AA358" s="165"/>
      <c r="AB358" s="165"/>
      <c r="AC358" s="86" t="s">
        <v>166</v>
      </c>
      <c r="AD358" s="56" t="s">
        <v>196</v>
      </c>
      <c r="AE358" s="166" t="s">
        <v>245</v>
      </c>
      <c r="AF358" s="165" t="s">
        <v>166</v>
      </c>
      <c r="AG358" s="165" t="s">
        <v>166</v>
      </c>
      <c r="AH358" s="165" t="s">
        <v>164</v>
      </c>
      <c r="AI358" s="165" t="s">
        <v>164</v>
      </c>
      <c r="AJ358" s="165" t="s">
        <v>164</v>
      </c>
      <c r="AK358" s="165" t="s">
        <v>164</v>
      </c>
      <c r="AL358" s="165" t="s">
        <v>164</v>
      </c>
      <c r="AM358" s="178"/>
      <c r="AN358" s="178"/>
      <c r="AO358" s="28">
        <f t="shared" si="25"/>
        <v>100</v>
      </c>
      <c r="AP358" s="178">
        <v>58.34</v>
      </c>
      <c r="AQ358" s="178"/>
      <c r="AR358" s="178">
        <v>41.66</v>
      </c>
      <c r="AS358" s="178"/>
      <c r="AT358" s="178" t="s">
        <v>164</v>
      </c>
      <c r="AU358" s="178"/>
      <c r="AV358" s="178"/>
      <c r="AW358" s="178"/>
      <c r="AX358" s="178"/>
      <c r="AY358" s="178"/>
      <c r="AZ358" s="178"/>
      <c r="BA358" s="178"/>
      <c r="BB358" s="178"/>
      <c r="BC358" s="178"/>
      <c r="BD358" s="178"/>
      <c r="BE358" s="165" t="s">
        <v>164</v>
      </c>
      <c r="BF358" s="165" t="s">
        <v>164</v>
      </c>
      <c r="BG358" s="165" t="s">
        <v>164</v>
      </c>
      <c r="BH358" s="165" t="s">
        <v>164</v>
      </c>
      <c r="BI358" s="179"/>
      <c r="BJ358" s="179" t="s">
        <v>164</v>
      </c>
      <c r="BK358" s="179"/>
      <c r="BL358" s="179" t="s">
        <v>164</v>
      </c>
      <c r="BM358" s="179"/>
      <c r="BN358" s="179" t="s">
        <v>164</v>
      </c>
      <c r="BO358" s="179"/>
      <c r="BP358" s="179"/>
      <c r="BQ358" s="179"/>
      <c r="BR358" s="179" t="s">
        <v>164</v>
      </c>
      <c r="BS358" s="179">
        <v>53.0</v>
      </c>
      <c r="BT358" s="179" t="s">
        <v>164</v>
      </c>
      <c r="BU358" s="179">
        <v>8.0</v>
      </c>
      <c r="BV358" s="179"/>
      <c r="BW358" s="179"/>
      <c r="BX358" s="179" t="s">
        <v>164</v>
      </c>
      <c r="BY358" s="179">
        <v>106.0</v>
      </c>
      <c r="BZ358" s="179" t="s">
        <v>164</v>
      </c>
      <c r="CA358" s="179"/>
      <c r="CB358" s="179" t="s">
        <v>164</v>
      </c>
      <c r="CC358" s="179"/>
      <c r="CD358" s="179" t="s">
        <v>164</v>
      </c>
      <c r="CE358" s="165" t="s">
        <v>164</v>
      </c>
      <c r="CF358" s="165" t="s">
        <v>164</v>
      </c>
      <c r="CG358" s="165" t="s">
        <v>164</v>
      </c>
      <c r="CH358" s="165" t="s">
        <v>164</v>
      </c>
      <c r="CI358" s="165" t="s">
        <v>164</v>
      </c>
      <c r="CJ358" s="165" t="s">
        <v>164</v>
      </c>
      <c r="CK358" s="165" t="s">
        <v>164</v>
      </c>
      <c r="CL358" s="165" t="s">
        <v>164</v>
      </c>
      <c r="CM358" s="165" t="s">
        <v>164</v>
      </c>
      <c r="CN358" s="165" t="s">
        <v>164</v>
      </c>
      <c r="CO358" s="165" t="s">
        <v>164</v>
      </c>
      <c r="CP358" s="165" t="s">
        <v>164</v>
      </c>
      <c r="CQ358" s="165" t="s">
        <v>164</v>
      </c>
      <c r="CR358" s="165" t="s">
        <v>164</v>
      </c>
      <c r="CS358" s="165" t="s">
        <v>164</v>
      </c>
      <c r="CT358" s="165" t="s">
        <v>164</v>
      </c>
      <c r="CU358" s="165" t="s">
        <v>164</v>
      </c>
      <c r="CV358" s="165" t="s">
        <v>164</v>
      </c>
      <c r="CW358" s="185"/>
      <c r="CX358" s="185"/>
      <c r="CY358" s="185"/>
      <c r="CZ358" s="33"/>
      <c r="DA358" s="33" t="s">
        <v>164</v>
      </c>
      <c r="DB358" s="33" t="s">
        <v>164</v>
      </c>
      <c r="DC358" s="33" t="s">
        <v>164</v>
      </c>
      <c r="DD358" s="33" t="s">
        <v>164</v>
      </c>
      <c r="DE358" s="33" t="s">
        <v>164</v>
      </c>
      <c r="DF358" s="33" t="s">
        <v>164</v>
      </c>
      <c r="DG358" s="33" t="s">
        <v>164</v>
      </c>
      <c r="DH358" s="33" t="s">
        <v>164</v>
      </c>
      <c r="DI358" s="33" t="s">
        <v>164</v>
      </c>
    </row>
    <row r="359" ht="15.75" customHeight="1">
      <c r="A359" s="86"/>
      <c r="B359" s="86"/>
      <c r="C359" s="165"/>
      <c r="D359" s="165"/>
      <c r="E359" s="165"/>
      <c r="F359" s="165"/>
      <c r="G359" s="165"/>
      <c r="H359" s="165"/>
      <c r="I359" s="165"/>
      <c r="J359" s="165" t="s">
        <v>581</v>
      </c>
      <c r="K359" s="87" t="s">
        <v>218</v>
      </c>
      <c r="L359" s="87"/>
      <c r="M359" s="87"/>
      <c r="N359" s="87" t="s">
        <v>218</v>
      </c>
      <c r="O359" s="180" t="s">
        <v>663</v>
      </c>
      <c r="P359" s="35"/>
      <c r="Q359" s="35" t="str">
        <f t="shared" si="24"/>
        <v>medium-grained, homogeneous,  marble</v>
      </c>
      <c r="R359" s="35" t="s">
        <v>205</v>
      </c>
      <c r="S359" s="35" t="s">
        <v>164</v>
      </c>
      <c r="T359" s="35" t="s">
        <v>194</v>
      </c>
      <c r="U359" s="165" t="s">
        <v>164</v>
      </c>
      <c r="V359" s="35" t="s">
        <v>166</v>
      </c>
      <c r="W359" s="56" t="s">
        <v>190</v>
      </c>
      <c r="X359" s="35" t="s">
        <v>164</v>
      </c>
      <c r="Y359" s="35" t="s">
        <v>164</v>
      </c>
      <c r="Z359" s="35" t="s">
        <v>164</v>
      </c>
      <c r="AA359" s="165"/>
      <c r="AB359" s="165"/>
      <c r="AC359" s="86" t="s">
        <v>166</v>
      </c>
      <c r="AD359" s="56" t="s">
        <v>183</v>
      </c>
      <c r="AE359" s="166" t="s">
        <v>384</v>
      </c>
      <c r="AF359" s="165" t="s">
        <v>164</v>
      </c>
      <c r="AG359" s="165" t="s">
        <v>164</v>
      </c>
      <c r="AH359" s="165" t="s">
        <v>166</v>
      </c>
      <c r="AI359" s="165" t="s">
        <v>164</v>
      </c>
      <c r="AJ359" s="165" t="s">
        <v>164</v>
      </c>
      <c r="AK359" s="165" t="s">
        <v>164</v>
      </c>
      <c r="AL359" s="165" t="s">
        <v>584</v>
      </c>
      <c r="AM359" s="178"/>
      <c r="AN359" s="178"/>
      <c r="AO359" s="28">
        <f t="shared" si="25"/>
        <v>0</v>
      </c>
      <c r="AP359" s="178" t="s">
        <v>164</v>
      </c>
      <c r="AQ359" s="178"/>
      <c r="AR359" s="178" t="s">
        <v>164</v>
      </c>
      <c r="AS359" s="178"/>
      <c r="AT359" s="178" t="s">
        <v>164</v>
      </c>
      <c r="AU359" s="178"/>
      <c r="AV359" s="178"/>
      <c r="AW359" s="178"/>
      <c r="AX359" s="178"/>
      <c r="AY359" s="178"/>
      <c r="AZ359" s="178"/>
      <c r="BA359" s="178"/>
      <c r="BB359" s="178"/>
      <c r="BC359" s="178"/>
      <c r="BD359" s="178"/>
      <c r="BE359" s="165" t="s">
        <v>164</v>
      </c>
      <c r="BF359" s="165" t="s">
        <v>164</v>
      </c>
      <c r="BG359" s="165" t="s">
        <v>164</v>
      </c>
      <c r="BH359" s="165" t="s">
        <v>164</v>
      </c>
      <c r="BI359" s="179"/>
      <c r="BJ359" s="179" t="s">
        <v>164</v>
      </c>
      <c r="BK359" s="179"/>
      <c r="BL359" s="179" t="s">
        <v>164</v>
      </c>
      <c r="BM359" s="179"/>
      <c r="BN359" s="179" t="s">
        <v>164</v>
      </c>
      <c r="BO359" s="179"/>
      <c r="BP359" s="179"/>
      <c r="BQ359" s="179"/>
      <c r="BR359" s="179" t="s">
        <v>164</v>
      </c>
      <c r="BS359" s="179"/>
      <c r="BT359" s="179" t="s">
        <v>164</v>
      </c>
      <c r="BU359" s="179"/>
      <c r="BV359" s="179"/>
      <c r="BW359" s="179"/>
      <c r="BX359" s="179" t="s">
        <v>164</v>
      </c>
      <c r="BY359" s="179"/>
      <c r="BZ359" s="179" t="s">
        <v>164</v>
      </c>
      <c r="CA359" s="179"/>
      <c r="CB359" s="179" t="s">
        <v>164</v>
      </c>
      <c r="CC359" s="179"/>
      <c r="CD359" s="179" t="s">
        <v>164</v>
      </c>
      <c r="CE359" s="165" t="s">
        <v>585</v>
      </c>
      <c r="CF359" s="165" t="s">
        <v>164</v>
      </c>
      <c r="CG359" s="165" t="s">
        <v>164</v>
      </c>
      <c r="CH359" s="165" t="s">
        <v>164</v>
      </c>
      <c r="CI359" s="165" t="s">
        <v>164</v>
      </c>
      <c r="CJ359" s="165" t="s">
        <v>164</v>
      </c>
      <c r="CK359" s="165" t="s">
        <v>164</v>
      </c>
      <c r="CL359" s="165" t="s">
        <v>164</v>
      </c>
      <c r="CM359" s="165" t="s">
        <v>164</v>
      </c>
      <c r="CN359" s="165" t="s">
        <v>164</v>
      </c>
      <c r="CO359" s="165" t="s">
        <v>164</v>
      </c>
      <c r="CP359" s="165" t="s">
        <v>164</v>
      </c>
      <c r="CQ359" s="165" t="s">
        <v>585</v>
      </c>
      <c r="CR359" s="165" t="s">
        <v>164</v>
      </c>
      <c r="CS359" s="165" t="s">
        <v>164</v>
      </c>
      <c r="CT359" s="165" t="s">
        <v>164</v>
      </c>
      <c r="CU359" s="165" t="s">
        <v>164</v>
      </c>
      <c r="CV359" s="165" t="s">
        <v>164</v>
      </c>
      <c r="CW359" s="185"/>
      <c r="CX359" s="185"/>
      <c r="CY359" s="185"/>
      <c r="CZ359" s="33"/>
      <c r="DA359" s="33" t="s">
        <v>164</v>
      </c>
      <c r="DB359" s="33" t="s">
        <v>164</v>
      </c>
      <c r="DC359" s="33" t="s">
        <v>164</v>
      </c>
      <c r="DD359" s="33" t="s">
        <v>164</v>
      </c>
      <c r="DE359" s="33" t="s">
        <v>164</v>
      </c>
      <c r="DF359" s="33" t="s">
        <v>164</v>
      </c>
      <c r="DG359" s="33" t="s">
        <v>164</v>
      </c>
      <c r="DH359" s="33" t="s">
        <v>164</v>
      </c>
      <c r="DI359" s="33" t="s">
        <v>164</v>
      </c>
    </row>
    <row r="360" ht="15.75" customHeight="1">
      <c r="B360" s="35"/>
      <c r="C360" s="35"/>
      <c r="D360" s="35"/>
      <c r="E360" s="35"/>
      <c r="F360" s="35"/>
      <c r="G360" s="35"/>
      <c r="H360" s="35"/>
      <c r="I360" s="35"/>
      <c r="J360" s="35" t="s">
        <v>586</v>
      </c>
      <c r="K360" s="87" t="s">
        <v>218</v>
      </c>
      <c r="L360" s="87"/>
      <c r="M360" s="87"/>
      <c r="N360" s="87" t="s">
        <v>218</v>
      </c>
      <c r="O360" s="180" t="s">
        <v>663</v>
      </c>
      <c r="P360" s="35"/>
      <c r="Q360" s="35" t="str">
        <f t="shared" si="24"/>
        <v>-grained, homogeneous,  marble</v>
      </c>
      <c r="R360" s="35" t="s">
        <v>164</v>
      </c>
      <c r="S360" s="35" t="s">
        <v>164</v>
      </c>
      <c r="T360" s="35" t="s">
        <v>194</v>
      </c>
      <c r="U360" s="165" t="s">
        <v>164</v>
      </c>
      <c r="V360" s="165" t="s">
        <v>166</v>
      </c>
      <c r="W360" s="56" t="s">
        <v>190</v>
      </c>
      <c r="X360" s="35" t="s">
        <v>164</v>
      </c>
      <c r="Y360" s="35" t="s">
        <v>164</v>
      </c>
      <c r="Z360" s="35" t="s">
        <v>164</v>
      </c>
      <c r="AA360" s="165"/>
      <c r="AB360" s="165"/>
      <c r="AC360" s="165" t="s">
        <v>164</v>
      </c>
      <c r="AD360" s="165" t="s">
        <v>164</v>
      </c>
      <c r="AE360" s="171"/>
      <c r="AF360" s="165" t="s">
        <v>164</v>
      </c>
      <c r="AG360" s="165" t="s">
        <v>164</v>
      </c>
      <c r="AH360" s="165" t="s">
        <v>164</v>
      </c>
      <c r="AI360" s="165" t="s">
        <v>164</v>
      </c>
      <c r="AJ360" s="165" t="s">
        <v>164</v>
      </c>
      <c r="AK360" s="165" t="s">
        <v>164</v>
      </c>
      <c r="AL360" s="165" t="s">
        <v>164</v>
      </c>
      <c r="AM360" s="181"/>
      <c r="AN360" s="181"/>
      <c r="AO360" s="28">
        <f t="shared" si="25"/>
        <v>100</v>
      </c>
      <c r="AP360" s="181">
        <v>82.43</v>
      </c>
      <c r="AQ360" s="178"/>
      <c r="AR360" s="182">
        <v>17.57</v>
      </c>
      <c r="AS360" s="178"/>
      <c r="AT360" s="178" t="s">
        <v>164</v>
      </c>
      <c r="AU360" s="178"/>
      <c r="AV360" s="178"/>
      <c r="AW360" s="178"/>
      <c r="AX360" s="178"/>
      <c r="AY360" s="178"/>
      <c r="AZ360" s="178"/>
      <c r="BA360" s="178"/>
      <c r="BB360" s="178"/>
      <c r="BC360" s="178"/>
      <c r="BD360" s="178"/>
      <c r="BE360" s="165" t="s">
        <v>164</v>
      </c>
      <c r="BF360" s="165" t="s">
        <v>164</v>
      </c>
      <c r="BG360" s="165" t="s">
        <v>164</v>
      </c>
      <c r="BH360" s="165" t="s">
        <v>164</v>
      </c>
      <c r="BI360" s="179"/>
      <c r="BJ360" s="179" t="s">
        <v>164</v>
      </c>
      <c r="BK360" s="179"/>
      <c r="BL360" s="179" t="s">
        <v>164</v>
      </c>
      <c r="BM360" s="179"/>
      <c r="BN360" s="179" t="s">
        <v>164</v>
      </c>
      <c r="BO360" s="179"/>
      <c r="BP360" s="179"/>
      <c r="BQ360" s="179"/>
      <c r="BR360" s="179" t="s">
        <v>164</v>
      </c>
      <c r="BS360" s="179"/>
      <c r="BT360" s="179" t="s">
        <v>164</v>
      </c>
      <c r="BU360" s="179"/>
      <c r="BV360" s="179"/>
      <c r="BW360" s="179"/>
      <c r="BX360" s="179" t="s">
        <v>164</v>
      </c>
      <c r="BY360" s="179"/>
      <c r="BZ360" s="179" t="s">
        <v>164</v>
      </c>
      <c r="CA360" s="179"/>
      <c r="CB360" s="179" t="s">
        <v>164</v>
      </c>
      <c r="CC360" s="179"/>
      <c r="CD360" s="179" t="s">
        <v>164</v>
      </c>
      <c r="CE360" s="165" t="s">
        <v>588</v>
      </c>
      <c r="CF360" s="165" t="s">
        <v>164</v>
      </c>
      <c r="CG360" s="165" t="s">
        <v>164</v>
      </c>
      <c r="CH360" s="165" t="s">
        <v>164</v>
      </c>
      <c r="CI360" s="165" t="s">
        <v>164</v>
      </c>
      <c r="CJ360" s="165" t="s">
        <v>164</v>
      </c>
      <c r="CK360" s="165" t="s">
        <v>164</v>
      </c>
      <c r="CL360" s="165" t="s">
        <v>164</v>
      </c>
      <c r="CM360" s="165" t="s">
        <v>164</v>
      </c>
      <c r="CN360" s="165" t="s">
        <v>164</v>
      </c>
      <c r="CO360" s="165" t="s">
        <v>164</v>
      </c>
      <c r="CP360" s="165" t="s">
        <v>164</v>
      </c>
      <c r="CQ360" s="165" t="s">
        <v>164</v>
      </c>
      <c r="CR360" s="165" t="s">
        <v>164</v>
      </c>
      <c r="CS360" s="165" t="s">
        <v>164</v>
      </c>
      <c r="CT360" s="165" t="s">
        <v>164</v>
      </c>
      <c r="CU360" s="165" t="s">
        <v>164</v>
      </c>
      <c r="CV360" s="165" t="s">
        <v>164</v>
      </c>
      <c r="CW360" s="185"/>
      <c r="CX360" s="185"/>
      <c r="CY360" s="185"/>
      <c r="CZ360" s="33"/>
      <c r="DA360" s="33" t="s">
        <v>164</v>
      </c>
      <c r="DB360" s="33" t="s">
        <v>164</v>
      </c>
      <c r="DC360" s="33" t="s">
        <v>164</v>
      </c>
      <c r="DD360" s="33" t="s">
        <v>164</v>
      </c>
      <c r="DE360" s="33" t="s">
        <v>164</v>
      </c>
      <c r="DF360" s="33" t="s">
        <v>164</v>
      </c>
      <c r="DG360" s="33" t="s">
        <v>164</v>
      </c>
      <c r="DH360" s="33" t="s">
        <v>164</v>
      </c>
      <c r="DI360" s="33" t="s">
        <v>164</v>
      </c>
    </row>
    <row r="361" ht="15.75" customHeight="1">
      <c r="B361" s="35"/>
      <c r="C361" s="35"/>
      <c r="D361" s="35"/>
      <c r="E361" s="35"/>
      <c r="F361" s="35"/>
      <c r="G361" s="35"/>
      <c r="H361" s="35"/>
      <c r="I361" s="35"/>
      <c r="J361" s="35" t="s">
        <v>617</v>
      </c>
      <c r="K361" s="87" t="s">
        <v>218</v>
      </c>
      <c r="L361" s="87"/>
      <c r="M361" s="87"/>
      <c r="N361" s="87" t="s">
        <v>218</v>
      </c>
      <c r="O361" s="180" t="s">
        <v>663</v>
      </c>
      <c r="P361" s="35"/>
      <c r="Q361" s="35" t="str">
        <f t="shared" si="24"/>
        <v>medium-grained, banded, white marble</v>
      </c>
      <c r="R361" s="35" t="s">
        <v>205</v>
      </c>
      <c r="S361" s="35" t="s">
        <v>189</v>
      </c>
      <c r="T361" s="35" t="s">
        <v>182</v>
      </c>
      <c r="U361" s="35" t="s">
        <v>664</v>
      </c>
      <c r="V361" s="35" t="s">
        <v>166</v>
      </c>
      <c r="W361" s="56" t="s">
        <v>190</v>
      </c>
      <c r="X361" s="35"/>
      <c r="Y361" s="35"/>
      <c r="Z361" s="35"/>
      <c r="AA361" s="165"/>
      <c r="AB361" s="165"/>
      <c r="AC361" s="165"/>
      <c r="AD361" s="165"/>
      <c r="AE361" s="171"/>
      <c r="AF361" s="165"/>
      <c r="AG361" s="165"/>
      <c r="AH361" s="165"/>
      <c r="AI361" s="165"/>
      <c r="AJ361" s="165"/>
      <c r="AK361" s="165"/>
      <c r="AL361" s="165"/>
      <c r="AM361" s="181"/>
      <c r="AN361" s="181"/>
      <c r="AO361" s="28">
        <f t="shared" si="25"/>
        <v>0</v>
      </c>
      <c r="AP361" s="181"/>
      <c r="AQ361" s="178"/>
      <c r="AR361" s="178"/>
      <c r="AS361" s="178"/>
      <c r="AT361" s="178"/>
      <c r="AU361" s="178"/>
      <c r="AV361" s="178"/>
      <c r="AW361" s="178"/>
      <c r="AX361" s="178"/>
      <c r="AY361" s="178"/>
      <c r="AZ361" s="178"/>
      <c r="BA361" s="178"/>
      <c r="BB361" s="178"/>
      <c r="BC361" s="178"/>
      <c r="BD361" s="178"/>
      <c r="BE361" s="165"/>
      <c r="BF361" s="165"/>
      <c r="BG361" s="165"/>
      <c r="BH361" s="165"/>
      <c r="BI361" s="179"/>
      <c r="BJ361" s="179"/>
      <c r="BK361" s="179"/>
      <c r="BL361" s="179"/>
      <c r="BM361" s="179"/>
      <c r="BN361" s="179"/>
      <c r="BO361" s="179"/>
      <c r="BP361" s="179"/>
      <c r="BQ361" s="179"/>
      <c r="BR361" s="179"/>
      <c r="BS361" s="179"/>
      <c r="BT361" s="179"/>
      <c r="BU361" s="179"/>
      <c r="BV361" s="179"/>
      <c r="BW361" s="179"/>
      <c r="BX361" s="179"/>
      <c r="BY361" s="179"/>
      <c r="BZ361" s="179"/>
      <c r="CA361" s="179"/>
      <c r="CB361" s="179"/>
      <c r="CC361" s="179"/>
      <c r="CD361" s="179"/>
      <c r="CE361" s="165"/>
      <c r="CF361" s="165"/>
      <c r="CG361" s="165"/>
      <c r="CH361" s="165"/>
      <c r="CI361" s="165"/>
      <c r="CJ361" s="165"/>
      <c r="CK361" s="165"/>
      <c r="CL361" s="165"/>
      <c r="CM361" s="165"/>
      <c r="CN361" s="165"/>
      <c r="CO361" s="165"/>
      <c r="CP361" s="165"/>
      <c r="CQ361" s="165"/>
      <c r="CR361" s="165"/>
      <c r="CS361" s="165"/>
      <c r="CT361" s="165"/>
      <c r="CU361" s="165"/>
      <c r="CV361" s="165"/>
      <c r="CW361" s="185"/>
      <c r="CX361" s="191">
        <v>2.65</v>
      </c>
      <c r="CY361" s="191">
        <v>-2.1</v>
      </c>
      <c r="CZ361" s="33"/>
      <c r="DA361" s="33"/>
      <c r="DB361" s="33"/>
      <c r="DC361" s="33"/>
      <c r="DD361" s="33"/>
      <c r="DE361" s="33"/>
      <c r="DF361" s="33"/>
      <c r="DG361" s="33"/>
      <c r="DH361" s="33"/>
      <c r="DI361" s="33"/>
    </row>
    <row r="362" ht="15.75" customHeight="1">
      <c r="B362" s="35"/>
      <c r="C362" s="35"/>
      <c r="D362" s="35"/>
      <c r="E362" s="35"/>
      <c r="F362" s="35"/>
      <c r="G362" s="35"/>
      <c r="H362" s="35"/>
      <c r="I362" s="35"/>
      <c r="J362" s="35" t="s">
        <v>617</v>
      </c>
      <c r="K362" s="87" t="s">
        <v>218</v>
      </c>
      <c r="L362" s="87"/>
      <c r="M362" s="87"/>
      <c r="N362" s="87" t="s">
        <v>218</v>
      </c>
      <c r="O362" s="180" t="s">
        <v>663</v>
      </c>
      <c r="P362" s="35"/>
      <c r="Q362" s="35" t="str">
        <f t="shared" si="24"/>
        <v>medium-grained, banded, white marble</v>
      </c>
      <c r="R362" s="35" t="s">
        <v>205</v>
      </c>
      <c r="S362" s="35" t="s">
        <v>189</v>
      </c>
      <c r="T362" s="35" t="s">
        <v>182</v>
      </c>
      <c r="U362" s="35" t="s">
        <v>664</v>
      </c>
      <c r="V362" s="35" t="s">
        <v>166</v>
      </c>
      <c r="W362" s="56" t="s">
        <v>190</v>
      </c>
      <c r="X362" s="35"/>
      <c r="Y362" s="35"/>
      <c r="Z362" s="35"/>
      <c r="AA362" s="165"/>
      <c r="AB362" s="165"/>
      <c r="AC362" s="165"/>
      <c r="AD362" s="165"/>
      <c r="AE362" s="171"/>
      <c r="AF362" s="165"/>
      <c r="AG362" s="165"/>
      <c r="AH362" s="165"/>
      <c r="AI362" s="165"/>
      <c r="AJ362" s="165"/>
      <c r="AK362" s="165"/>
      <c r="AL362" s="165"/>
      <c r="AM362" s="181"/>
      <c r="AN362" s="181"/>
      <c r="AO362" s="28">
        <f t="shared" si="25"/>
        <v>0</v>
      </c>
      <c r="AP362" s="181"/>
      <c r="AQ362" s="178"/>
      <c r="AR362" s="178"/>
      <c r="AS362" s="178"/>
      <c r="AT362" s="178"/>
      <c r="AU362" s="178"/>
      <c r="AV362" s="178"/>
      <c r="AW362" s="178"/>
      <c r="AX362" s="178"/>
      <c r="AY362" s="178"/>
      <c r="AZ362" s="178"/>
      <c r="BA362" s="178"/>
      <c r="BB362" s="178"/>
      <c r="BC362" s="178"/>
      <c r="BD362" s="178"/>
      <c r="BE362" s="165"/>
      <c r="BF362" s="165"/>
      <c r="BG362" s="165"/>
      <c r="BH362" s="165"/>
      <c r="BI362" s="179"/>
      <c r="BJ362" s="179"/>
      <c r="BK362" s="179"/>
      <c r="BL362" s="179"/>
      <c r="BM362" s="179"/>
      <c r="BN362" s="179"/>
      <c r="BO362" s="179"/>
      <c r="BP362" s="179"/>
      <c r="BQ362" s="179"/>
      <c r="BR362" s="179"/>
      <c r="BS362" s="179"/>
      <c r="BT362" s="179"/>
      <c r="BU362" s="179"/>
      <c r="BV362" s="179"/>
      <c r="BW362" s="179"/>
      <c r="BX362" s="179"/>
      <c r="BY362" s="179"/>
      <c r="BZ362" s="179"/>
      <c r="CA362" s="179"/>
      <c r="CB362" s="179"/>
      <c r="CC362" s="179"/>
      <c r="CD362" s="179"/>
      <c r="CE362" s="165"/>
      <c r="CF362" s="165"/>
      <c r="CG362" s="165"/>
      <c r="CH362" s="165"/>
      <c r="CI362" s="165"/>
      <c r="CJ362" s="165"/>
      <c r="CK362" s="165"/>
      <c r="CL362" s="165"/>
      <c r="CM362" s="165"/>
      <c r="CN362" s="165"/>
      <c r="CO362" s="165"/>
      <c r="CP362" s="165"/>
      <c r="CQ362" s="165"/>
      <c r="CR362" s="165"/>
      <c r="CS362" s="165"/>
      <c r="CT362" s="165"/>
      <c r="CU362" s="165"/>
      <c r="CV362" s="165"/>
      <c r="CW362" s="185"/>
      <c r="CX362" s="191">
        <v>2.6</v>
      </c>
      <c r="CY362" s="191">
        <v>-6.7</v>
      </c>
      <c r="CZ362" s="33"/>
      <c r="DA362" s="33"/>
      <c r="DB362" s="33"/>
      <c r="DC362" s="33"/>
      <c r="DD362" s="33"/>
      <c r="DE362" s="33"/>
      <c r="DF362" s="33"/>
      <c r="DG362" s="33"/>
      <c r="DH362" s="33"/>
      <c r="DI362" s="33"/>
    </row>
    <row r="363" ht="15.75" customHeight="1">
      <c r="A363" s="86"/>
      <c r="B363" s="86"/>
      <c r="C363" s="165"/>
      <c r="D363" s="165"/>
      <c r="E363" s="165"/>
      <c r="F363" s="165"/>
      <c r="G363" s="165"/>
      <c r="H363" s="165"/>
      <c r="I363" s="165"/>
      <c r="J363" s="165" t="s">
        <v>581</v>
      </c>
      <c r="K363" s="87" t="s">
        <v>187</v>
      </c>
      <c r="L363" s="87"/>
      <c r="M363" s="87"/>
      <c r="N363" s="87" t="s">
        <v>187</v>
      </c>
      <c r="O363" s="180" t="s">
        <v>665</v>
      </c>
      <c r="P363" s="35"/>
      <c r="Q363" s="35" t="str">
        <f t="shared" si="24"/>
        <v>very fine-grained, homogeneous, grey/greyish marble</v>
      </c>
      <c r="R363" s="35" t="s">
        <v>188</v>
      </c>
      <c r="S363" s="35" t="s">
        <v>619</v>
      </c>
      <c r="T363" s="35" t="s">
        <v>194</v>
      </c>
      <c r="U363" s="165" t="s">
        <v>164</v>
      </c>
      <c r="V363" s="165" t="s">
        <v>166</v>
      </c>
      <c r="W363" s="56" t="s">
        <v>190</v>
      </c>
      <c r="X363" s="35" t="s">
        <v>164</v>
      </c>
      <c r="Y363" s="35" t="s">
        <v>164</v>
      </c>
      <c r="Z363" s="35" t="s">
        <v>164</v>
      </c>
      <c r="AA363" s="165"/>
      <c r="AB363" s="165"/>
      <c r="AC363" s="86" t="s">
        <v>166</v>
      </c>
      <c r="AD363" s="56" t="s">
        <v>191</v>
      </c>
      <c r="AE363" s="166" t="s">
        <v>184</v>
      </c>
      <c r="AF363" s="165" t="s">
        <v>164</v>
      </c>
      <c r="AG363" s="165" t="s">
        <v>166</v>
      </c>
      <c r="AH363" s="165" t="s">
        <v>164</v>
      </c>
      <c r="AI363" s="165" t="s">
        <v>166</v>
      </c>
      <c r="AJ363" s="165"/>
      <c r="AK363" s="165" t="s">
        <v>164</v>
      </c>
      <c r="AL363" s="165" t="s">
        <v>164</v>
      </c>
      <c r="AM363" s="178"/>
      <c r="AN363" s="178"/>
      <c r="AO363" s="28">
        <f t="shared" si="25"/>
        <v>0</v>
      </c>
      <c r="AP363" s="178" t="s">
        <v>164</v>
      </c>
      <c r="AQ363" s="178"/>
      <c r="AR363" s="178" t="s">
        <v>164</v>
      </c>
      <c r="AS363" s="178"/>
      <c r="AT363" s="178" t="s">
        <v>164</v>
      </c>
      <c r="AU363" s="178"/>
      <c r="AV363" s="178"/>
      <c r="AW363" s="178"/>
      <c r="AX363" s="178"/>
      <c r="AY363" s="178"/>
      <c r="AZ363" s="178"/>
      <c r="BA363" s="178"/>
      <c r="BB363" s="178"/>
      <c r="BC363" s="178"/>
      <c r="BD363" s="178"/>
      <c r="BE363" s="165" t="s">
        <v>164</v>
      </c>
      <c r="BF363" s="165" t="s">
        <v>164</v>
      </c>
      <c r="BG363" s="165" t="s">
        <v>164</v>
      </c>
      <c r="BH363" s="165" t="s">
        <v>164</v>
      </c>
      <c r="BI363" s="179"/>
      <c r="BJ363" s="179" t="s">
        <v>164</v>
      </c>
      <c r="BK363" s="179"/>
      <c r="BL363" s="179" t="s">
        <v>164</v>
      </c>
      <c r="BM363" s="179"/>
      <c r="BN363" s="179" t="s">
        <v>164</v>
      </c>
      <c r="BO363" s="179"/>
      <c r="BP363" s="179"/>
      <c r="BQ363" s="179"/>
      <c r="BR363" s="179" t="s">
        <v>164</v>
      </c>
      <c r="BS363" s="179"/>
      <c r="BT363" s="179" t="s">
        <v>164</v>
      </c>
      <c r="BU363" s="179"/>
      <c r="BV363" s="179"/>
      <c r="BW363" s="179"/>
      <c r="BX363" s="179" t="s">
        <v>164</v>
      </c>
      <c r="BY363" s="179"/>
      <c r="BZ363" s="179" t="s">
        <v>164</v>
      </c>
      <c r="CA363" s="179"/>
      <c r="CB363" s="179" t="s">
        <v>164</v>
      </c>
      <c r="CC363" s="179"/>
      <c r="CD363" s="179" t="s">
        <v>164</v>
      </c>
      <c r="CE363" s="165" t="s">
        <v>164</v>
      </c>
      <c r="CF363" s="165" t="s">
        <v>164</v>
      </c>
      <c r="CG363" s="165" t="s">
        <v>164</v>
      </c>
      <c r="CH363" s="165" t="s">
        <v>164</v>
      </c>
      <c r="CI363" s="165" t="s">
        <v>164</v>
      </c>
      <c r="CJ363" s="165" t="s">
        <v>164</v>
      </c>
      <c r="CK363" s="165" t="s">
        <v>164</v>
      </c>
      <c r="CL363" s="165" t="s">
        <v>164</v>
      </c>
      <c r="CM363" s="165" t="s">
        <v>164</v>
      </c>
      <c r="CN363" s="165" t="s">
        <v>164</v>
      </c>
      <c r="CO363" s="165" t="s">
        <v>164</v>
      </c>
      <c r="CP363" s="165" t="s">
        <v>585</v>
      </c>
      <c r="CQ363" s="165" t="s">
        <v>585</v>
      </c>
      <c r="CR363" s="165" t="s">
        <v>164</v>
      </c>
      <c r="CS363" s="165" t="s">
        <v>585</v>
      </c>
      <c r="CT363" s="165" t="s">
        <v>164</v>
      </c>
      <c r="CU363" s="165" t="s">
        <v>164</v>
      </c>
      <c r="CV363" s="165" t="s">
        <v>164</v>
      </c>
      <c r="CW363" s="185"/>
      <c r="CX363" s="185"/>
      <c r="CY363" s="185"/>
      <c r="CZ363" s="33"/>
      <c r="DA363" s="33" t="s">
        <v>164</v>
      </c>
      <c r="DB363" s="33" t="s">
        <v>164</v>
      </c>
      <c r="DC363" s="33" t="s">
        <v>164</v>
      </c>
      <c r="DD363" s="33" t="s">
        <v>164</v>
      </c>
      <c r="DE363" s="33" t="s">
        <v>164</v>
      </c>
      <c r="DF363" s="33" t="s">
        <v>164</v>
      </c>
      <c r="DG363" s="33" t="s">
        <v>164</v>
      </c>
      <c r="DH363" s="33" t="s">
        <v>164</v>
      </c>
      <c r="DI363" s="33" t="s">
        <v>164</v>
      </c>
      <c r="DJ363" s="134"/>
      <c r="DK363" s="63"/>
      <c r="DL363" s="63"/>
      <c r="DM363" s="63"/>
      <c r="DN363" s="63"/>
      <c r="DO363" s="63"/>
      <c r="DP363" s="63"/>
      <c r="DQ363" s="63"/>
      <c r="DR363" s="63"/>
      <c r="DS363" s="63"/>
      <c r="DT363" s="63"/>
      <c r="DU363" s="63"/>
      <c r="DV363" s="63"/>
      <c r="DW363" s="63"/>
      <c r="DX363" s="63"/>
      <c r="DY363" s="63"/>
      <c r="DZ363" s="63"/>
      <c r="EA363" s="63"/>
      <c r="EB363" s="63"/>
      <c r="EC363" s="63"/>
      <c r="ED363" s="63"/>
      <c r="EE363" s="63"/>
      <c r="EF363" s="63"/>
      <c r="EG363" s="63"/>
      <c r="EH363" s="63"/>
      <c r="EI363" s="63"/>
      <c r="EJ363" s="63"/>
      <c r="EK363" s="63"/>
      <c r="EL363" s="63"/>
      <c r="EM363" s="63"/>
      <c r="EN363" s="63"/>
      <c r="EO363" s="63"/>
      <c r="EP363" s="63"/>
      <c r="EQ363" s="63"/>
      <c r="ER363" s="63"/>
      <c r="ES363" s="63"/>
      <c r="ET363" s="63"/>
      <c r="EU363" s="63"/>
      <c r="EV363" s="63"/>
      <c r="EW363" s="63"/>
      <c r="EX363" s="63"/>
      <c r="EY363" s="63"/>
      <c r="EZ363" s="33"/>
    </row>
    <row r="364" ht="15.75" customHeight="1">
      <c r="A364" s="86"/>
      <c r="B364" s="86"/>
      <c r="C364" s="165"/>
      <c r="D364" s="165"/>
      <c r="E364" s="165"/>
      <c r="F364" s="165"/>
      <c r="G364" s="165"/>
      <c r="H364" s="165"/>
      <c r="I364" s="165"/>
      <c r="J364" s="165" t="s">
        <v>628</v>
      </c>
      <c r="K364" s="87" t="s">
        <v>187</v>
      </c>
      <c r="L364" s="87"/>
      <c r="M364" s="87"/>
      <c r="N364" s="87" t="s">
        <v>187</v>
      </c>
      <c r="O364" s="180" t="s">
        <v>665</v>
      </c>
      <c r="P364" s="35"/>
      <c r="Q364" s="35" t="str">
        <f t="shared" si="24"/>
        <v>very fine-grained, banded, light grey to grey/blue marble</v>
      </c>
      <c r="R364" s="35" t="s">
        <v>188</v>
      </c>
      <c r="S364" s="35" t="s">
        <v>630</v>
      </c>
      <c r="T364" s="35" t="s">
        <v>182</v>
      </c>
      <c r="U364" s="165" t="s">
        <v>189</v>
      </c>
      <c r="V364" s="35" t="s">
        <v>166</v>
      </c>
      <c r="W364" s="56" t="s">
        <v>190</v>
      </c>
      <c r="X364" s="35" t="s">
        <v>164</v>
      </c>
      <c r="Y364" s="35" t="s">
        <v>164</v>
      </c>
      <c r="Z364" s="35" t="s">
        <v>164</v>
      </c>
      <c r="AA364" s="165"/>
      <c r="AB364" s="165"/>
      <c r="AC364" s="165" t="s">
        <v>164</v>
      </c>
      <c r="AD364" s="165" t="s">
        <v>164</v>
      </c>
      <c r="AE364" s="171"/>
      <c r="AF364" s="165" t="s">
        <v>164</v>
      </c>
      <c r="AG364" s="165" t="s">
        <v>164</v>
      </c>
      <c r="AH364" s="165" t="s">
        <v>164</v>
      </c>
      <c r="AI364" s="165" t="s">
        <v>164</v>
      </c>
      <c r="AJ364" s="165" t="s">
        <v>164</v>
      </c>
      <c r="AK364" s="165" t="s">
        <v>164</v>
      </c>
      <c r="AL364" s="165" t="s">
        <v>164</v>
      </c>
      <c r="AM364" s="181"/>
      <c r="AN364" s="181"/>
      <c r="AO364" s="28">
        <f t="shared" si="25"/>
        <v>0</v>
      </c>
      <c r="AP364" s="181" t="s">
        <v>164</v>
      </c>
      <c r="AQ364" s="178"/>
      <c r="AR364" s="182" t="s">
        <v>164</v>
      </c>
      <c r="AS364" s="178"/>
      <c r="AT364" s="178" t="s">
        <v>164</v>
      </c>
      <c r="AU364" s="178"/>
      <c r="AV364" s="178"/>
      <c r="AW364" s="178"/>
      <c r="AX364" s="178"/>
      <c r="AY364" s="178"/>
      <c r="AZ364" s="178"/>
      <c r="BA364" s="178"/>
      <c r="BB364" s="178"/>
      <c r="BC364" s="178"/>
      <c r="BD364" s="178"/>
      <c r="BE364" s="165" t="s">
        <v>164</v>
      </c>
      <c r="BF364" s="165" t="s">
        <v>164</v>
      </c>
      <c r="BG364" s="165" t="s">
        <v>164</v>
      </c>
      <c r="BH364" s="165" t="s">
        <v>164</v>
      </c>
      <c r="BI364" s="179"/>
      <c r="BJ364" s="179" t="s">
        <v>164</v>
      </c>
      <c r="BK364" s="179"/>
      <c r="BL364" s="179" t="s">
        <v>164</v>
      </c>
      <c r="BM364" s="179"/>
      <c r="BN364" s="179" t="s">
        <v>164</v>
      </c>
      <c r="BO364" s="179"/>
      <c r="BP364" s="179"/>
      <c r="BQ364" s="179"/>
      <c r="BR364" s="179" t="s">
        <v>164</v>
      </c>
      <c r="BS364" s="179"/>
      <c r="BT364" s="179" t="s">
        <v>164</v>
      </c>
      <c r="BU364" s="179"/>
      <c r="BV364" s="179"/>
      <c r="BW364" s="179"/>
      <c r="BX364" s="179" t="s">
        <v>164</v>
      </c>
      <c r="BY364" s="179"/>
      <c r="BZ364" s="179" t="s">
        <v>164</v>
      </c>
      <c r="CA364" s="179"/>
      <c r="CB364" s="179" t="s">
        <v>164</v>
      </c>
      <c r="CC364" s="179"/>
      <c r="CD364" s="179" t="s">
        <v>164</v>
      </c>
      <c r="CE364" s="165" t="s">
        <v>585</v>
      </c>
      <c r="CF364" s="165" t="s">
        <v>164</v>
      </c>
      <c r="CG364" s="165" t="s">
        <v>164</v>
      </c>
      <c r="CH364" s="165" t="s">
        <v>164</v>
      </c>
      <c r="CI364" s="165" t="s">
        <v>164</v>
      </c>
      <c r="CJ364" s="165" t="s">
        <v>164</v>
      </c>
      <c r="CK364" s="165" t="s">
        <v>164</v>
      </c>
      <c r="CL364" s="165" t="s">
        <v>164</v>
      </c>
      <c r="CM364" s="165" t="s">
        <v>164</v>
      </c>
      <c r="CN364" s="165" t="s">
        <v>164</v>
      </c>
      <c r="CO364" s="165" t="s">
        <v>164</v>
      </c>
      <c r="CP364" s="165" t="s">
        <v>164</v>
      </c>
      <c r="CQ364" s="165" t="s">
        <v>164</v>
      </c>
      <c r="CR364" s="165" t="s">
        <v>164</v>
      </c>
      <c r="CS364" s="165" t="s">
        <v>164</v>
      </c>
      <c r="CT364" s="165" t="s">
        <v>164</v>
      </c>
      <c r="CU364" s="165" t="s">
        <v>164</v>
      </c>
      <c r="CV364" s="165" t="s">
        <v>164</v>
      </c>
      <c r="CW364" s="185"/>
      <c r="CX364" s="185"/>
      <c r="CY364" s="185"/>
      <c r="CZ364" s="33"/>
      <c r="DA364" s="186" t="s">
        <v>666</v>
      </c>
      <c r="DB364" s="186" t="s">
        <v>667</v>
      </c>
      <c r="DC364" s="186" t="s">
        <v>633</v>
      </c>
      <c r="DD364" s="186" t="s">
        <v>668</v>
      </c>
      <c r="DE364" s="186" t="s">
        <v>669</v>
      </c>
      <c r="DF364" s="186" t="s">
        <v>670</v>
      </c>
      <c r="DG364" s="186" t="s">
        <v>671</v>
      </c>
      <c r="DH364" s="186" t="s">
        <v>672</v>
      </c>
      <c r="DI364" s="186" t="s">
        <v>673</v>
      </c>
      <c r="DJ364" s="134"/>
      <c r="DK364" s="63"/>
      <c r="DL364" s="63"/>
      <c r="DM364" s="63"/>
      <c r="DN364" s="63"/>
      <c r="DO364" s="63"/>
      <c r="DP364" s="63"/>
      <c r="DQ364" s="63"/>
      <c r="DR364" s="63"/>
      <c r="DS364" s="63"/>
      <c r="DT364" s="63"/>
      <c r="DU364" s="63"/>
      <c r="DV364" s="63"/>
      <c r="DW364" s="63"/>
      <c r="DX364" s="63"/>
      <c r="DY364" s="63"/>
      <c r="DZ364" s="63"/>
      <c r="EA364" s="63"/>
      <c r="EB364" s="63"/>
      <c r="EC364" s="63"/>
      <c r="ED364" s="63"/>
      <c r="EE364" s="63"/>
      <c r="EF364" s="63"/>
      <c r="EG364" s="63"/>
      <c r="EH364" s="63"/>
      <c r="EI364" s="63"/>
      <c r="EJ364" s="63"/>
      <c r="EK364" s="63"/>
      <c r="EL364" s="63"/>
      <c r="EM364" s="63"/>
      <c r="EN364" s="63"/>
      <c r="EO364" s="63"/>
      <c r="EP364" s="63"/>
      <c r="EQ364" s="63"/>
      <c r="ER364" s="63"/>
      <c r="ES364" s="63"/>
      <c r="ET364" s="63"/>
      <c r="EU364" s="63"/>
      <c r="EV364" s="63"/>
      <c r="EW364" s="63"/>
      <c r="EX364" s="63"/>
      <c r="EY364" s="63"/>
      <c r="EZ364" s="33"/>
      <c r="FA364" s="40"/>
      <c r="FB364" s="40"/>
      <c r="FC364" s="40"/>
      <c r="FD364" s="40"/>
      <c r="FE364" s="40"/>
      <c r="FF364" s="40"/>
      <c r="FG364" s="40"/>
      <c r="FH364" s="40"/>
      <c r="FI364" s="40"/>
      <c r="FJ364" s="40"/>
      <c r="FK364" s="40"/>
      <c r="FL364" s="40"/>
      <c r="FM364" s="40"/>
      <c r="FN364" s="40"/>
      <c r="FO364" s="40"/>
      <c r="FP364" s="40"/>
      <c r="FQ364" s="40"/>
      <c r="FR364" s="40"/>
      <c r="FS364" s="40"/>
      <c r="FT364" s="40"/>
      <c r="FU364" s="40"/>
      <c r="FV364" s="40"/>
      <c r="FW364" s="40"/>
      <c r="FX364" s="40"/>
      <c r="FY364" s="40"/>
      <c r="FZ364" s="40"/>
      <c r="GA364" s="40"/>
    </row>
    <row r="365" ht="15.75" customHeight="1">
      <c r="B365" s="35"/>
      <c r="C365" s="35"/>
      <c r="D365" s="35"/>
      <c r="E365" s="35"/>
      <c r="F365" s="35"/>
      <c r="G365" s="35"/>
      <c r="H365" s="35"/>
      <c r="I365" s="35"/>
      <c r="J365" s="35" t="s">
        <v>586</v>
      </c>
      <c r="K365" s="87" t="s">
        <v>187</v>
      </c>
      <c r="L365" s="87"/>
      <c r="M365" s="87"/>
      <c r="N365" s="87" t="s">
        <v>187</v>
      </c>
      <c r="O365" s="180" t="s">
        <v>665</v>
      </c>
      <c r="P365" s="35"/>
      <c r="Q365" s="35" t="str">
        <f t="shared" si="24"/>
        <v>-grained, homogeneous,  marble</v>
      </c>
      <c r="R365" s="35" t="s">
        <v>164</v>
      </c>
      <c r="S365" s="35" t="s">
        <v>164</v>
      </c>
      <c r="T365" s="35" t="s">
        <v>194</v>
      </c>
      <c r="U365" s="165" t="s">
        <v>164</v>
      </c>
      <c r="V365" s="165" t="s">
        <v>166</v>
      </c>
      <c r="W365" s="56" t="s">
        <v>190</v>
      </c>
      <c r="X365" s="35" t="s">
        <v>164</v>
      </c>
      <c r="Y365" s="35" t="s">
        <v>164</v>
      </c>
      <c r="Z365" s="35" t="s">
        <v>164</v>
      </c>
      <c r="AA365" s="165"/>
      <c r="AB365" s="165"/>
      <c r="AC365" s="165" t="s">
        <v>164</v>
      </c>
      <c r="AD365" s="165" t="s">
        <v>164</v>
      </c>
      <c r="AE365" s="171"/>
      <c r="AF365" s="165" t="s">
        <v>164</v>
      </c>
      <c r="AG365" s="165" t="s">
        <v>164</v>
      </c>
      <c r="AH365" s="165" t="s">
        <v>164</v>
      </c>
      <c r="AI365" s="165" t="s">
        <v>164</v>
      </c>
      <c r="AJ365" s="165" t="s">
        <v>164</v>
      </c>
      <c r="AK365" s="165" t="s">
        <v>164</v>
      </c>
      <c r="AL365" s="165" t="s">
        <v>164</v>
      </c>
      <c r="AM365" s="181"/>
      <c r="AN365" s="181"/>
      <c r="AO365" s="28">
        <f t="shared" si="25"/>
        <v>100</v>
      </c>
      <c r="AP365" s="181">
        <v>96.97</v>
      </c>
      <c r="AQ365" s="178"/>
      <c r="AR365" s="182">
        <v>3.03</v>
      </c>
      <c r="AS365" s="178"/>
      <c r="AT365" s="178" t="s">
        <v>164</v>
      </c>
      <c r="AU365" s="178"/>
      <c r="AV365" s="178"/>
      <c r="AW365" s="178"/>
      <c r="AX365" s="178"/>
      <c r="AY365" s="178"/>
      <c r="AZ365" s="178"/>
      <c r="BA365" s="178"/>
      <c r="BB365" s="178"/>
      <c r="BC365" s="178"/>
      <c r="BD365" s="178"/>
      <c r="BE365" s="165" t="s">
        <v>164</v>
      </c>
      <c r="BF365" s="165" t="s">
        <v>164</v>
      </c>
      <c r="BG365" s="165" t="s">
        <v>164</v>
      </c>
      <c r="BH365" s="165" t="s">
        <v>164</v>
      </c>
      <c r="BI365" s="179"/>
      <c r="BJ365" s="179" t="s">
        <v>164</v>
      </c>
      <c r="BK365" s="179"/>
      <c r="BL365" s="179" t="s">
        <v>164</v>
      </c>
      <c r="BM365" s="179"/>
      <c r="BN365" s="179" t="s">
        <v>164</v>
      </c>
      <c r="BO365" s="179"/>
      <c r="BP365" s="179"/>
      <c r="BQ365" s="179"/>
      <c r="BR365" s="179" t="s">
        <v>164</v>
      </c>
      <c r="BS365" s="179"/>
      <c r="BT365" s="179" t="s">
        <v>164</v>
      </c>
      <c r="BU365" s="179"/>
      <c r="BV365" s="179"/>
      <c r="BW365" s="179"/>
      <c r="BX365" s="179" t="s">
        <v>164</v>
      </c>
      <c r="BY365" s="179"/>
      <c r="BZ365" s="179" t="s">
        <v>164</v>
      </c>
      <c r="CA365" s="179"/>
      <c r="CB365" s="179" t="s">
        <v>164</v>
      </c>
      <c r="CC365" s="179"/>
      <c r="CD365" s="179" t="s">
        <v>164</v>
      </c>
      <c r="CE365" s="165" t="s">
        <v>585</v>
      </c>
      <c r="CF365" s="165" t="s">
        <v>164</v>
      </c>
      <c r="CG365" s="165" t="s">
        <v>164</v>
      </c>
      <c r="CH365" s="165" t="s">
        <v>164</v>
      </c>
      <c r="CI365" s="165" t="s">
        <v>164</v>
      </c>
      <c r="CJ365" s="165" t="s">
        <v>164</v>
      </c>
      <c r="CK365" s="165" t="s">
        <v>164</v>
      </c>
      <c r="CL365" s="165" t="s">
        <v>164</v>
      </c>
      <c r="CM365" s="165" t="s">
        <v>164</v>
      </c>
      <c r="CN365" s="165" t="s">
        <v>164</v>
      </c>
      <c r="CO365" s="165" t="s">
        <v>164</v>
      </c>
      <c r="CP365" s="165" t="s">
        <v>164</v>
      </c>
      <c r="CQ365" s="165" t="s">
        <v>164</v>
      </c>
      <c r="CR365" s="165" t="s">
        <v>164</v>
      </c>
      <c r="CS365" s="165" t="s">
        <v>164</v>
      </c>
      <c r="CT365" s="165" t="s">
        <v>164</v>
      </c>
      <c r="CU365" s="165" t="s">
        <v>164</v>
      </c>
      <c r="CV365" s="165" t="s">
        <v>164</v>
      </c>
      <c r="CW365" s="185"/>
      <c r="CX365" s="185"/>
      <c r="CY365" s="185"/>
      <c r="CZ365" s="33"/>
      <c r="DA365" s="33" t="s">
        <v>164</v>
      </c>
      <c r="DB365" s="33" t="s">
        <v>164</v>
      </c>
      <c r="DC365" s="33" t="s">
        <v>164</v>
      </c>
      <c r="DD365" s="33" t="s">
        <v>164</v>
      </c>
      <c r="DE365" s="33" t="s">
        <v>164</v>
      </c>
      <c r="DF365" s="33" t="s">
        <v>164</v>
      </c>
      <c r="DG365" s="33" t="s">
        <v>164</v>
      </c>
      <c r="DH365" s="33" t="s">
        <v>164</v>
      </c>
      <c r="DI365" s="33" t="s">
        <v>164</v>
      </c>
      <c r="DJ365" s="134"/>
      <c r="DK365" s="63"/>
      <c r="DL365" s="63"/>
      <c r="DM365" s="63"/>
      <c r="DN365" s="63"/>
      <c r="DO365" s="63"/>
      <c r="DP365" s="63"/>
      <c r="DQ365" s="63"/>
      <c r="DR365" s="63"/>
      <c r="DS365" s="63"/>
      <c r="DT365" s="63"/>
      <c r="DU365" s="63"/>
      <c r="DV365" s="63"/>
      <c r="DW365" s="63"/>
      <c r="DX365" s="63"/>
      <c r="DY365" s="63"/>
      <c r="DZ365" s="63"/>
      <c r="EA365" s="63"/>
      <c r="EB365" s="63"/>
      <c r="EC365" s="63"/>
      <c r="ED365" s="63"/>
      <c r="EE365" s="63"/>
      <c r="EF365" s="63"/>
      <c r="EG365" s="63"/>
      <c r="EH365" s="63"/>
      <c r="EI365" s="63"/>
      <c r="EJ365" s="63"/>
      <c r="EK365" s="63"/>
      <c r="EL365" s="63"/>
      <c r="EM365" s="63"/>
      <c r="EN365" s="63"/>
      <c r="EO365" s="63"/>
      <c r="EP365" s="63"/>
      <c r="EQ365" s="63"/>
      <c r="ER365" s="63"/>
      <c r="ES365" s="63"/>
      <c r="ET365" s="63"/>
      <c r="EU365" s="63"/>
      <c r="EV365" s="63"/>
      <c r="EW365" s="63"/>
      <c r="EX365" s="63"/>
      <c r="EY365" s="63"/>
      <c r="EZ365" s="33"/>
    </row>
    <row r="366" ht="15.75" customHeight="1">
      <c r="B366" s="35"/>
      <c r="C366" s="35"/>
      <c r="D366" s="35"/>
      <c r="E366" s="35"/>
      <c r="F366" s="35"/>
      <c r="G366" s="35"/>
      <c r="H366" s="35"/>
      <c r="I366" s="35"/>
      <c r="J366" s="35" t="s">
        <v>586</v>
      </c>
      <c r="K366" s="87" t="s">
        <v>674</v>
      </c>
      <c r="L366" s="87"/>
      <c r="M366" s="87"/>
      <c r="N366" s="87" t="s">
        <v>674</v>
      </c>
      <c r="O366" s="21" t="s">
        <v>675</v>
      </c>
      <c r="P366" s="35"/>
      <c r="Q366" s="35" t="str">
        <f t="shared" si="24"/>
        <v>coarse-grained, homogeneous, grey marble</v>
      </c>
      <c r="R366" s="35" t="s">
        <v>222</v>
      </c>
      <c r="S366" s="35" t="s">
        <v>181</v>
      </c>
      <c r="T366" s="35" t="s">
        <v>194</v>
      </c>
      <c r="U366" s="165"/>
      <c r="V366" s="35" t="s">
        <v>166</v>
      </c>
      <c r="W366" s="56" t="s">
        <v>190</v>
      </c>
      <c r="X366" s="35"/>
      <c r="Y366" s="35"/>
      <c r="Z366" s="35"/>
      <c r="AA366" s="165"/>
      <c r="AB366" s="165"/>
      <c r="AC366" s="165"/>
      <c r="AD366" s="165"/>
      <c r="AE366" s="171"/>
      <c r="AF366" s="165"/>
      <c r="AG366" s="165"/>
      <c r="AH366" s="165"/>
      <c r="AI366" s="165"/>
      <c r="AJ366" s="165"/>
      <c r="AK366" s="165"/>
      <c r="AL366" s="165"/>
      <c r="AM366" s="181"/>
      <c r="AN366" s="181"/>
      <c r="AO366" s="28">
        <f t="shared" si="25"/>
        <v>0</v>
      </c>
      <c r="AP366" s="181"/>
      <c r="AQ366" s="178"/>
      <c r="AR366" s="182"/>
      <c r="AS366" s="178"/>
      <c r="AT366" s="178"/>
      <c r="AU366" s="178"/>
      <c r="AV366" s="178"/>
      <c r="AW366" s="178"/>
      <c r="AX366" s="178"/>
      <c r="AY366" s="178"/>
      <c r="AZ366" s="178"/>
      <c r="BA366" s="178"/>
      <c r="BB366" s="178"/>
      <c r="BC366" s="178"/>
      <c r="BD366" s="178"/>
      <c r="BE366" s="165"/>
      <c r="BF366" s="165"/>
      <c r="BG366" s="165"/>
      <c r="BH366" s="165"/>
      <c r="BI366" s="179"/>
      <c r="BJ366" s="179"/>
      <c r="BK366" s="179"/>
      <c r="BL366" s="179"/>
      <c r="BM366" s="179"/>
      <c r="BN366" s="179"/>
      <c r="BO366" s="179"/>
      <c r="BP366" s="179"/>
      <c r="BQ366" s="179"/>
      <c r="BR366" s="179"/>
      <c r="BS366" s="179"/>
      <c r="BT366" s="179"/>
      <c r="BU366" s="179"/>
      <c r="BV366" s="179"/>
      <c r="BW366" s="179"/>
      <c r="BX366" s="179"/>
      <c r="BY366" s="179"/>
      <c r="BZ366" s="179"/>
      <c r="CA366" s="179"/>
      <c r="CB366" s="179"/>
      <c r="CC366" s="179"/>
      <c r="CD366" s="179"/>
      <c r="CE366" s="165"/>
      <c r="CF366" s="165"/>
      <c r="CG366" s="165"/>
      <c r="CH366" s="165"/>
      <c r="CI366" s="165"/>
      <c r="CJ366" s="165"/>
      <c r="CK366" s="165"/>
      <c r="CL366" s="165"/>
      <c r="CM366" s="165"/>
      <c r="CN366" s="165"/>
      <c r="CO366" s="165"/>
      <c r="CP366" s="165"/>
      <c r="CQ366" s="165"/>
      <c r="CR366" s="165"/>
      <c r="CS366" s="165"/>
      <c r="CT366" s="165"/>
      <c r="CU366" s="165"/>
      <c r="CV366" s="165"/>
      <c r="CW366" s="185"/>
      <c r="CX366" s="185"/>
      <c r="CY366" s="185"/>
      <c r="CZ366" s="33"/>
      <c r="DA366" s="33"/>
      <c r="DB366" s="33"/>
      <c r="DC366" s="33"/>
      <c r="DD366" s="33"/>
      <c r="DE366" s="33"/>
      <c r="DF366" s="33"/>
      <c r="DG366" s="33"/>
      <c r="DH366" s="33"/>
      <c r="DI366" s="33"/>
      <c r="DJ366" s="134"/>
      <c r="DK366" s="63"/>
      <c r="DL366" s="63"/>
      <c r="DM366" s="63"/>
      <c r="DN366" s="63"/>
      <c r="DO366" s="63"/>
      <c r="DP366" s="63"/>
      <c r="DQ366" s="63"/>
      <c r="DR366" s="63"/>
      <c r="DS366" s="63"/>
      <c r="DT366" s="63"/>
      <c r="DU366" s="63"/>
      <c r="DV366" s="63"/>
      <c r="DW366" s="63"/>
      <c r="DX366" s="63"/>
      <c r="DY366" s="63"/>
      <c r="DZ366" s="63"/>
      <c r="EA366" s="63"/>
      <c r="EB366" s="63"/>
      <c r="EC366" s="63"/>
      <c r="ED366" s="63"/>
      <c r="EE366" s="63"/>
      <c r="EF366" s="63"/>
      <c r="EG366" s="63"/>
      <c r="EH366" s="63"/>
      <c r="EI366" s="63"/>
      <c r="EJ366" s="63"/>
      <c r="EK366" s="63"/>
      <c r="EL366" s="63"/>
      <c r="EM366" s="63"/>
      <c r="EN366" s="63"/>
      <c r="EO366" s="63"/>
      <c r="EP366" s="63"/>
      <c r="EQ366" s="63"/>
      <c r="ER366" s="63"/>
      <c r="ES366" s="63"/>
      <c r="ET366" s="63"/>
      <c r="EU366" s="63"/>
      <c r="EV366" s="63"/>
      <c r="EW366" s="63"/>
      <c r="EX366" s="63"/>
      <c r="EY366" s="63"/>
      <c r="EZ366" s="33"/>
      <c r="FA366" s="33"/>
      <c r="FB366" s="33"/>
      <c r="FC366" s="33"/>
      <c r="FD366" s="33"/>
      <c r="FE366" s="33"/>
      <c r="FF366" s="33"/>
      <c r="FG366" s="33"/>
      <c r="FH366" s="33"/>
      <c r="FI366" s="33"/>
      <c r="FJ366" s="33"/>
      <c r="FK366" s="33"/>
      <c r="FL366" s="33"/>
      <c r="FM366" s="33"/>
      <c r="FN366" s="33"/>
      <c r="FO366" s="33"/>
      <c r="FP366" s="33"/>
      <c r="FQ366" s="33"/>
      <c r="FR366" s="33"/>
      <c r="FS366" s="33"/>
      <c r="FT366" s="33"/>
      <c r="FU366" s="33"/>
      <c r="FV366" s="33"/>
      <c r="FW366" s="33"/>
      <c r="FX366" s="33"/>
      <c r="FY366" s="33"/>
      <c r="FZ366" s="33"/>
      <c r="GA366" s="33"/>
    </row>
    <row r="367" ht="15.75" customHeight="1">
      <c r="A367" s="86"/>
      <c r="B367" s="86"/>
      <c r="C367" s="35"/>
      <c r="D367" s="35"/>
      <c r="E367" s="35"/>
      <c r="F367" s="35"/>
      <c r="G367" s="35"/>
      <c r="H367" s="35"/>
      <c r="I367" s="35"/>
      <c r="J367" s="35" t="s">
        <v>676</v>
      </c>
      <c r="K367" s="87" t="s">
        <v>225</v>
      </c>
      <c r="L367" s="87"/>
      <c r="M367" s="87"/>
      <c r="N367" s="87" t="s">
        <v>225</v>
      </c>
      <c r="O367" s="177" t="s">
        <v>602</v>
      </c>
      <c r="P367" s="35"/>
      <c r="Q367" s="35" t="str">
        <f t="shared" si="24"/>
        <v>fine-grained, homogeneous, white marble</v>
      </c>
      <c r="R367" s="56" t="s">
        <v>180</v>
      </c>
      <c r="S367" s="56" t="s">
        <v>189</v>
      </c>
      <c r="T367" s="56" t="s">
        <v>194</v>
      </c>
      <c r="U367" s="165"/>
      <c r="V367" s="165"/>
      <c r="W367" s="56" t="s">
        <v>190</v>
      </c>
      <c r="X367" s="35"/>
      <c r="Y367" s="35"/>
      <c r="Z367" s="35"/>
      <c r="AA367" s="165"/>
      <c r="AB367" s="165"/>
      <c r="AC367" s="165"/>
      <c r="AD367" s="165"/>
      <c r="AE367" s="171"/>
      <c r="AF367" s="165"/>
      <c r="AG367" s="165"/>
      <c r="AH367" s="165"/>
      <c r="AI367" s="165"/>
      <c r="AJ367" s="165"/>
      <c r="AK367" s="165"/>
      <c r="AL367" s="165"/>
      <c r="AM367" s="178"/>
      <c r="AN367" s="178"/>
      <c r="AO367" s="28">
        <f t="shared" si="25"/>
        <v>0</v>
      </c>
      <c r="AP367" s="178"/>
      <c r="AQ367" s="178"/>
      <c r="AR367" s="178"/>
      <c r="AS367" s="178"/>
      <c r="AT367" s="178"/>
      <c r="AU367" s="178"/>
      <c r="AV367" s="178"/>
      <c r="AW367" s="178"/>
      <c r="AX367" s="178"/>
      <c r="AY367" s="178"/>
      <c r="AZ367" s="178"/>
      <c r="BA367" s="178"/>
      <c r="BB367" s="178"/>
      <c r="BC367" s="178"/>
      <c r="BD367" s="178"/>
      <c r="BE367" s="165"/>
      <c r="BF367" s="165"/>
      <c r="BG367" s="165"/>
      <c r="BH367" s="165"/>
      <c r="BI367" s="179"/>
      <c r="BJ367" s="179"/>
      <c r="BK367" s="179"/>
      <c r="BL367" s="179"/>
      <c r="BM367" s="179"/>
      <c r="BN367" s="188"/>
      <c r="BO367" s="179"/>
      <c r="BP367" s="179"/>
      <c r="BQ367" s="179"/>
      <c r="BR367" s="179"/>
      <c r="BS367" s="179"/>
      <c r="BT367" s="179"/>
      <c r="BU367" s="179"/>
      <c r="BV367" s="179"/>
      <c r="BW367" s="179"/>
      <c r="BX367" s="179"/>
      <c r="BY367" s="179"/>
      <c r="BZ367" s="179"/>
      <c r="CA367" s="179"/>
      <c r="CB367" s="179"/>
      <c r="CC367" s="179"/>
      <c r="CD367" s="179"/>
      <c r="CE367" s="165"/>
      <c r="CF367" s="165"/>
      <c r="CG367" s="165"/>
      <c r="CH367" s="165"/>
      <c r="CI367" s="165"/>
      <c r="CJ367" s="165"/>
      <c r="CK367" s="165"/>
      <c r="CL367" s="165"/>
      <c r="CM367" s="165"/>
      <c r="CN367" s="165"/>
      <c r="CO367" s="165"/>
      <c r="CP367" s="165"/>
      <c r="CQ367" s="165"/>
      <c r="CR367" s="165"/>
      <c r="CS367" s="165"/>
      <c r="CT367" s="165"/>
      <c r="CU367" s="165"/>
      <c r="CV367" s="165"/>
      <c r="CW367" s="185"/>
      <c r="CX367" s="185"/>
      <c r="CY367" s="185"/>
      <c r="CZ367" s="33"/>
      <c r="DA367" s="33"/>
      <c r="DB367" s="33"/>
      <c r="DC367" s="33"/>
      <c r="DD367" s="33"/>
      <c r="DE367" s="33"/>
      <c r="DF367" s="33"/>
      <c r="DG367" s="33"/>
      <c r="DH367" s="33"/>
      <c r="DI367" s="33"/>
      <c r="DJ367" s="134"/>
      <c r="DK367" s="63"/>
      <c r="DL367" s="63"/>
      <c r="DM367" s="63"/>
      <c r="DN367" s="63"/>
      <c r="DO367" s="63"/>
      <c r="DP367" s="63"/>
      <c r="DQ367" s="63"/>
      <c r="DR367" s="63"/>
      <c r="DS367" s="63"/>
      <c r="DT367" s="63"/>
      <c r="DU367" s="63"/>
      <c r="DV367" s="63"/>
      <c r="DW367" s="63"/>
      <c r="DX367" s="63"/>
      <c r="DY367" s="63"/>
      <c r="DZ367" s="63"/>
      <c r="EA367" s="63"/>
      <c r="EB367" s="63"/>
      <c r="EC367" s="63"/>
      <c r="ED367" s="63"/>
      <c r="EE367" s="63"/>
      <c r="EF367" s="63"/>
      <c r="EG367" s="63"/>
      <c r="EH367" s="63"/>
      <c r="EI367" s="63"/>
      <c r="EJ367" s="63"/>
      <c r="EK367" s="63"/>
      <c r="EL367" s="63"/>
      <c r="EM367" s="63"/>
      <c r="EN367" s="63"/>
      <c r="EO367" s="63"/>
      <c r="EP367" s="63"/>
      <c r="EQ367" s="63"/>
      <c r="ER367" s="63"/>
      <c r="ES367" s="63"/>
      <c r="ET367" s="63"/>
      <c r="EU367" s="63"/>
      <c r="EV367" s="63"/>
      <c r="EW367" s="63"/>
      <c r="EX367" s="63"/>
      <c r="EY367" s="63"/>
      <c r="EZ367" s="33"/>
      <c r="FA367" s="33"/>
      <c r="FB367" s="33"/>
      <c r="FC367" s="33"/>
      <c r="FD367" s="33"/>
      <c r="FE367" s="33"/>
      <c r="FF367" s="33"/>
      <c r="FG367" s="33"/>
      <c r="FH367" s="33"/>
      <c r="FI367" s="33"/>
      <c r="FJ367" s="33"/>
      <c r="FK367" s="33"/>
      <c r="FL367" s="33"/>
      <c r="FM367" s="33"/>
      <c r="FN367" s="33"/>
      <c r="FO367" s="33"/>
      <c r="FP367" s="33"/>
      <c r="FQ367" s="33"/>
      <c r="FR367" s="33"/>
      <c r="FS367" s="33"/>
      <c r="FT367" s="33"/>
      <c r="FU367" s="33"/>
      <c r="FV367" s="33"/>
      <c r="FW367" s="33"/>
      <c r="FX367" s="33"/>
      <c r="FY367" s="33"/>
      <c r="FZ367" s="33"/>
      <c r="GA367" s="33"/>
    </row>
    <row r="368" ht="15.75" customHeight="1">
      <c r="B368" s="165"/>
      <c r="C368" s="165"/>
      <c r="D368" s="165"/>
      <c r="E368" s="165"/>
      <c r="F368" s="165"/>
      <c r="G368" s="165"/>
      <c r="H368" s="165"/>
      <c r="I368" s="165"/>
      <c r="J368" s="165" t="s">
        <v>654</v>
      </c>
      <c r="K368" s="87" t="s">
        <v>225</v>
      </c>
      <c r="L368" s="87"/>
      <c r="M368" s="87"/>
      <c r="N368" s="87" t="s">
        <v>225</v>
      </c>
      <c r="O368" s="180" t="s">
        <v>602</v>
      </c>
      <c r="P368" s="35"/>
      <c r="Q368" s="35" t="str">
        <f t="shared" si="24"/>
        <v>fine-grained, homogeneous, white marble</v>
      </c>
      <c r="R368" s="56" t="s">
        <v>180</v>
      </c>
      <c r="S368" s="56" t="s">
        <v>189</v>
      </c>
      <c r="T368" s="56" t="s">
        <v>194</v>
      </c>
      <c r="U368" s="165"/>
      <c r="V368" s="165"/>
      <c r="W368" s="56" t="s">
        <v>190</v>
      </c>
      <c r="X368" s="35"/>
      <c r="Y368" s="35"/>
      <c r="Z368" s="35"/>
      <c r="AA368" s="35"/>
      <c r="AB368" s="35"/>
      <c r="AC368" s="35"/>
      <c r="AD368" s="165"/>
      <c r="AE368" s="171"/>
      <c r="AF368" s="165"/>
      <c r="AG368" s="165"/>
      <c r="AH368" s="165"/>
      <c r="AI368" s="165"/>
      <c r="AJ368" s="165"/>
      <c r="AK368" s="165"/>
      <c r="AL368" s="165"/>
      <c r="AM368" s="181"/>
      <c r="AN368" s="181"/>
      <c r="AO368" s="28">
        <f t="shared" si="25"/>
        <v>0</v>
      </c>
      <c r="AP368" s="181"/>
      <c r="AQ368" s="178"/>
      <c r="AR368" s="182"/>
      <c r="AS368" s="178"/>
      <c r="AT368" s="178"/>
      <c r="AU368" s="178"/>
      <c r="AV368" s="178"/>
      <c r="AW368" s="178"/>
      <c r="AX368" s="178"/>
      <c r="AY368" s="178"/>
      <c r="AZ368" s="178"/>
      <c r="BA368" s="178"/>
      <c r="BB368" s="178"/>
      <c r="BC368" s="178"/>
      <c r="BD368" s="178"/>
      <c r="BE368" s="165"/>
      <c r="BF368" s="165"/>
      <c r="BG368" s="165"/>
      <c r="BH368" s="165"/>
      <c r="BI368" s="179"/>
      <c r="BJ368" s="179"/>
      <c r="BK368" s="179"/>
      <c r="BL368" s="179"/>
      <c r="BM368" s="179"/>
      <c r="BN368" s="179"/>
      <c r="BO368" s="188"/>
      <c r="BP368" s="188"/>
      <c r="BQ368" s="188"/>
      <c r="BR368" s="188"/>
      <c r="BS368" s="188">
        <v>203.0</v>
      </c>
      <c r="BT368" s="188"/>
      <c r="BU368" s="188">
        <v>36.5</v>
      </c>
      <c r="BV368" s="179"/>
      <c r="BW368" s="179"/>
      <c r="BX368" s="179" t="s">
        <v>164</v>
      </c>
      <c r="BY368" s="188">
        <v>180.5</v>
      </c>
      <c r="BZ368" s="188"/>
      <c r="CA368" s="188"/>
      <c r="CB368" s="188"/>
      <c r="CC368" s="179"/>
      <c r="CD368" s="179"/>
      <c r="CE368" s="165"/>
      <c r="CF368" s="165"/>
      <c r="CG368" s="165"/>
      <c r="CH368" s="165"/>
      <c r="CI368" s="165"/>
      <c r="CJ368" s="165"/>
      <c r="CK368" s="165"/>
      <c r="CL368" s="165"/>
      <c r="CM368" s="165"/>
      <c r="CN368" s="165"/>
      <c r="CO368" s="165"/>
      <c r="CP368" s="165"/>
      <c r="CQ368" s="165"/>
      <c r="CR368" s="165"/>
      <c r="CS368" s="165"/>
      <c r="CT368" s="165"/>
      <c r="CU368" s="165"/>
      <c r="CV368" s="165"/>
      <c r="CW368" s="185"/>
      <c r="CX368" s="185"/>
      <c r="CY368" s="185"/>
      <c r="CZ368" s="33"/>
      <c r="DA368" s="33"/>
      <c r="DB368" s="33"/>
      <c r="DC368" s="33"/>
      <c r="DD368" s="33"/>
      <c r="DE368" s="33"/>
      <c r="DF368" s="33"/>
      <c r="DG368" s="33"/>
      <c r="DH368" s="33"/>
      <c r="DI368" s="33"/>
    </row>
    <row r="369" ht="15.75" customHeight="1">
      <c r="B369" s="35"/>
      <c r="C369" s="35"/>
      <c r="D369" s="35"/>
      <c r="E369" s="35"/>
      <c r="F369" s="35"/>
      <c r="G369" s="35"/>
      <c r="H369" s="35"/>
      <c r="I369" s="35"/>
      <c r="J369" s="56" t="s">
        <v>677</v>
      </c>
      <c r="K369" s="87" t="s">
        <v>620</v>
      </c>
      <c r="L369" s="87"/>
      <c r="M369" s="87"/>
      <c r="N369" s="87" t="s">
        <v>620</v>
      </c>
      <c r="O369" s="21" t="s">
        <v>616</v>
      </c>
      <c r="P369" s="35"/>
      <c r="Q369" s="35" t="str">
        <f t="shared" si="24"/>
        <v>medium-grained, veined and spotted, white marble</v>
      </c>
      <c r="R369" s="56" t="s">
        <v>205</v>
      </c>
      <c r="S369" s="56" t="s">
        <v>189</v>
      </c>
      <c r="T369" s="56" t="s">
        <v>474</v>
      </c>
      <c r="U369" s="56" t="s">
        <v>244</v>
      </c>
      <c r="V369" s="165"/>
      <c r="W369" s="56" t="s">
        <v>190</v>
      </c>
      <c r="X369" s="35"/>
      <c r="Y369" s="35"/>
      <c r="Z369" s="35"/>
      <c r="AA369" s="165"/>
      <c r="AB369" s="165"/>
      <c r="AC369" s="56">
        <v>3.8</v>
      </c>
      <c r="AD369" s="56" t="s">
        <v>183</v>
      </c>
      <c r="AE369" s="166" t="s">
        <v>192</v>
      </c>
      <c r="AF369" s="165"/>
      <c r="AG369" s="56" t="s">
        <v>166</v>
      </c>
      <c r="AH369" s="165"/>
      <c r="AI369" s="56" t="s">
        <v>590</v>
      </c>
      <c r="AJ369" s="165"/>
      <c r="AK369" s="165"/>
      <c r="AL369" s="165"/>
      <c r="AM369" s="181"/>
      <c r="AN369" s="181"/>
      <c r="AO369" s="43"/>
      <c r="AP369" s="181"/>
      <c r="AQ369" s="178"/>
      <c r="AR369" s="178"/>
      <c r="AS369" s="178"/>
      <c r="AT369" s="178"/>
      <c r="AU369" s="178"/>
      <c r="AV369" s="178"/>
      <c r="AW369" s="178"/>
      <c r="AX369" s="178"/>
      <c r="AY369" s="178"/>
      <c r="AZ369" s="178"/>
      <c r="BA369" s="178"/>
      <c r="BB369" s="178"/>
      <c r="BC369" s="178"/>
      <c r="BD369" s="178"/>
      <c r="BE369" s="165"/>
      <c r="BF369" s="165"/>
      <c r="BG369" s="165"/>
      <c r="BH369" s="165"/>
      <c r="BI369" s="179"/>
      <c r="BJ369" s="179"/>
      <c r="BK369" s="179"/>
      <c r="BL369" s="179"/>
      <c r="BM369" s="179"/>
      <c r="BN369" s="179"/>
      <c r="BO369" s="179"/>
      <c r="BP369" s="179"/>
      <c r="BQ369" s="179"/>
      <c r="BR369" s="179"/>
      <c r="BS369" s="179"/>
      <c r="BT369" s="179"/>
      <c r="BU369" s="179"/>
      <c r="BV369" s="179"/>
      <c r="BW369" s="179"/>
      <c r="BX369" s="179"/>
      <c r="BY369" s="179"/>
      <c r="BZ369" s="179"/>
      <c r="CA369" s="179"/>
      <c r="CB369" s="179"/>
      <c r="CC369" s="179"/>
      <c r="CD369" s="179"/>
      <c r="CE369" s="165"/>
      <c r="CF369" s="165"/>
      <c r="CG369" s="165"/>
      <c r="CH369" s="165"/>
      <c r="CI369" s="165"/>
      <c r="CJ369" s="165"/>
      <c r="CK369" s="165"/>
      <c r="CL369" s="165"/>
      <c r="CM369" s="165"/>
      <c r="CN369" s="165"/>
      <c r="CO369" s="165"/>
      <c r="CP369" s="165"/>
      <c r="CQ369" s="165"/>
      <c r="CR369" s="165"/>
      <c r="CS369" s="165"/>
      <c r="CT369" s="165"/>
      <c r="CU369" s="165"/>
      <c r="CV369" s="165"/>
      <c r="CW369" s="185"/>
      <c r="CX369" s="185"/>
      <c r="CY369" s="185"/>
      <c r="CZ369" s="33"/>
      <c r="DA369" s="33"/>
      <c r="DB369" s="33"/>
      <c r="DC369" s="33"/>
      <c r="DD369" s="33"/>
      <c r="DE369" s="33"/>
      <c r="DF369" s="33"/>
      <c r="DG369" s="33"/>
      <c r="DH369" s="33"/>
      <c r="DI369" s="33"/>
    </row>
    <row r="370" ht="15.75" customHeight="1">
      <c r="B370" s="165"/>
      <c r="C370" s="165"/>
      <c r="D370" s="165"/>
      <c r="E370" s="165"/>
      <c r="F370" s="165"/>
      <c r="G370" s="165"/>
      <c r="H370" s="165"/>
      <c r="I370" s="165"/>
      <c r="J370" s="165" t="s">
        <v>654</v>
      </c>
      <c r="K370" s="87" t="s">
        <v>481</v>
      </c>
      <c r="L370" s="87"/>
      <c r="M370" s="87"/>
      <c r="N370" s="87" t="s">
        <v>481</v>
      </c>
      <c r="O370" s="180" t="s">
        <v>624</v>
      </c>
      <c r="P370" s="35"/>
      <c r="Q370" s="35" t="str">
        <f t="shared" si="24"/>
        <v>-grained, homogeneous,  marble</v>
      </c>
      <c r="R370" s="35"/>
      <c r="S370" s="35"/>
      <c r="T370" s="35" t="s">
        <v>194</v>
      </c>
      <c r="U370" s="165"/>
      <c r="V370" s="165"/>
      <c r="W370" s="56" t="s">
        <v>190</v>
      </c>
      <c r="X370" s="35"/>
      <c r="Y370" s="35"/>
      <c r="Z370" s="35"/>
      <c r="AA370" s="35"/>
      <c r="AB370" s="35"/>
      <c r="AC370" s="35"/>
      <c r="AD370" s="165"/>
      <c r="AE370" s="171"/>
      <c r="AF370" s="165"/>
      <c r="AG370" s="165"/>
      <c r="AH370" s="165"/>
      <c r="AI370" s="165"/>
      <c r="AJ370" s="165"/>
      <c r="AK370" s="165"/>
      <c r="AL370" s="165"/>
      <c r="AM370" s="181"/>
      <c r="AN370" s="181"/>
      <c r="AO370" s="28">
        <f t="shared" ref="AO370:AO372" si="26">SUM(AP370,AQ370,AR370)</f>
        <v>0</v>
      </c>
      <c r="AP370" s="181"/>
      <c r="AQ370" s="178"/>
      <c r="AR370" s="182"/>
      <c r="AS370" s="178"/>
      <c r="AT370" s="178"/>
      <c r="AU370" s="178"/>
      <c r="AV370" s="178"/>
      <c r="AW370" s="178"/>
      <c r="AX370" s="178"/>
      <c r="AY370" s="178"/>
      <c r="AZ370" s="178"/>
      <c r="BA370" s="178"/>
      <c r="BB370" s="178"/>
      <c r="BC370" s="178"/>
      <c r="BD370" s="178"/>
      <c r="BE370" s="165"/>
      <c r="BF370" s="165"/>
      <c r="BG370" s="165"/>
      <c r="BH370" s="165"/>
      <c r="BI370" s="179"/>
      <c r="BJ370" s="179"/>
      <c r="BK370" s="179"/>
      <c r="BL370" s="179"/>
      <c r="BM370" s="179"/>
      <c r="BN370" s="179"/>
      <c r="BO370" s="188"/>
      <c r="BP370" s="188"/>
      <c r="BQ370" s="188"/>
      <c r="BR370" s="188"/>
      <c r="BS370" s="188">
        <v>566.5</v>
      </c>
      <c r="BT370" s="188"/>
      <c r="BU370" s="188">
        <v>397.0</v>
      </c>
      <c r="BV370" s="179"/>
      <c r="BW370" s="179"/>
      <c r="BX370" s="179" t="s">
        <v>164</v>
      </c>
      <c r="BY370" s="188">
        <v>189.0</v>
      </c>
      <c r="BZ370" s="188"/>
      <c r="CA370" s="188"/>
      <c r="CB370" s="188"/>
      <c r="CC370" s="179"/>
      <c r="CD370" s="179"/>
      <c r="CE370" s="165"/>
      <c r="CF370" s="165"/>
      <c r="CG370" s="165"/>
      <c r="CH370" s="165"/>
      <c r="CI370" s="165"/>
      <c r="CJ370" s="165"/>
      <c r="CK370" s="165"/>
      <c r="CL370" s="165"/>
      <c r="CM370" s="165"/>
      <c r="CN370" s="165"/>
      <c r="CO370" s="165"/>
      <c r="CP370" s="165"/>
      <c r="CQ370" s="165"/>
      <c r="CR370" s="165"/>
      <c r="CS370" s="165"/>
      <c r="CT370" s="165"/>
      <c r="CU370" s="165"/>
      <c r="CV370" s="165"/>
      <c r="CW370" s="185"/>
      <c r="CX370" s="185"/>
      <c r="CY370" s="185"/>
      <c r="CZ370" s="33"/>
      <c r="DA370" s="33"/>
      <c r="DB370" s="33"/>
      <c r="DC370" s="33"/>
      <c r="DD370" s="33"/>
      <c r="DE370" s="33"/>
      <c r="DF370" s="33"/>
      <c r="DG370" s="33"/>
      <c r="DH370" s="33"/>
      <c r="DI370" s="33"/>
    </row>
    <row r="371" ht="15.75" customHeight="1">
      <c r="B371" s="165"/>
      <c r="C371" s="165"/>
      <c r="D371" s="165"/>
      <c r="E371" s="165"/>
      <c r="F371" s="165"/>
      <c r="G371" s="165"/>
      <c r="H371" s="165"/>
      <c r="I371" s="165"/>
      <c r="J371" s="165" t="s">
        <v>654</v>
      </c>
      <c r="K371" s="87" t="s">
        <v>187</v>
      </c>
      <c r="L371" s="87"/>
      <c r="M371" s="87"/>
      <c r="N371" s="87" t="s">
        <v>187</v>
      </c>
      <c r="O371" s="180" t="s">
        <v>665</v>
      </c>
      <c r="P371" s="35"/>
      <c r="Q371" s="35" t="str">
        <f t="shared" si="24"/>
        <v>-grained, homogeneous,  marble</v>
      </c>
      <c r="R371" s="35"/>
      <c r="S371" s="35"/>
      <c r="T371" s="35" t="s">
        <v>194</v>
      </c>
      <c r="U371" s="165"/>
      <c r="V371" s="165"/>
      <c r="W371" s="56" t="s">
        <v>190</v>
      </c>
      <c r="X371" s="35"/>
      <c r="Y371" s="35"/>
      <c r="Z371" s="35"/>
      <c r="AA371" s="35"/>
      <c r="AB371" s="35"/>
      <c r="AC371" s="35"/>
      <c r="AD371" s="165"/>
      <c r="AE371" s="171"/>
      <c r="AF371" s="165"/>
      <c r="AG371" s="165"/>
      <c r="AH371" s="165"/>
      <c r="AI371" s="165"/>
      <c r="AJ371" s="165"/>
      <c r="AK371" s="165"/>
      <c r="AL371" s="165"/>
      <c r="AM371" s="181"/>
      <c r="AN371" s="181"/>
      <c r="AO371" s="28">
        <f t="shared" si="26"/>
        <v>0</v>
      </c>
      <c r="AP371" s="181"/>
      <c r="AQ371" s="178"/>
      <c r="AR371" s="182"/>
      <c r="AS371" s="178"/>
      <c r="AT371" s="178"/>
      <c r="AU371" s="178"/>
      <c r="AV371" s="178"/>
      <c r="AW371" s="178"/>
      <c r="AX371" s="178"/>
      <c r="AY371" s="178"/>
      <c r="AZ371" s="178"/>
      <c r="BA371" s="178"/>
      <c r="BB371" s="178"/>
      <c r="BC371" s="178"/>
      <c r="BD371" s="178"/>
      <c r="BE371" s="165"/>
      <c r="BF371" s="165"/>
      <c r="BG371" s="165"/>
      <c r="BH371" s="165"/>
      <c r="BI371" s="179"/>
      <c r="BJ371" s="179"/>
      <c r="BK371" s="179"/>
      <c r="BL371" s="179"/>
      <c r="BM371" s="179"/>
      <c r="BN371" s="179"/>
      <c r="BO371" s="188"/>
      <c r="BP371" s="188"/>
      <c r="BQ371" s="188"/>
      <c r="BR371" s="188"/>
      <c r="BS371" s="188">
        <v>235.5</v>
      </c>
      <c r="BT371" s="188"/>
      <c r="BU371" s="188">
        <v>24.5</v>
      </c>
      <c r="BV371" s="179"/>
      <c r="BW371" s="179"/>
      <c r="BX371" s="179" t="s">
        <v>164</v>
      </c>
      <c r="BY371" s="188">
        <v>185.5</v>
      </c>
      <c r="BZ371" s="188"/>
      <c r="CA371" s="188"/>
      <c r="CB371" s="188"/>
      <c r="CC371" s="179"/>
      <c r="CD371" s="179"/>
      <c r="CE371" s="165"/>
      <c r="CF371" s="165"/>
      <c r="CG371" s="165"/>
      <c r="CH371" s="165"/>
      <c r="CI371" s="165"/>
      <c r="CJ371" s="165"/>
      <c r="CK371" s="165"/>
      <c r="CL371" s="165"/>
      <c r="CM371" s="165"/>
      <c r="CN371" s="165"/>
      <c r="CO371" s="165"/>
      <c r="CP371" s="165"/>
      <c r="CQ371" s="165"/>
      <c r="CR371" s="165"/>
      <c r="CS371" s="165"/>
      <c r="CT371" s="165"/>
      <c r="CU371" s="165"/>
      <c r="CV371" s="165"/>
      <c r="CW371" s="185"/>
      <c r="CX371" s="185"/>
      <c r="CY371" s="185"/>
      <c r="CZ371" s="33"/>
      <c r="DA371" s="33"/>
      <c r="DB371" s="33"/>
      <c r="DC371" s="33"/>
      <c r="DD371" s="33"/>
      <c r="DE371" s="33"/>
      <c r="DF371" s="33"/>
      <c r="DG371" s="33"/>
      <c r="DH371" s="33"/>
      <c r="DI371" s="33"/>
    </row>
    <row r="372" ht="15.75" customHeight="1">
      <c r="B372" s="165"/>
      <c r="C372" s="165"/>
      <c r="D372" s="165"/>
      <c r="E372" s="165"/>
      <c r="F372" s="165"/>
      <c r="G372" s="165"/>
      <c r="H372" s="165"/>
      <c r="I372" s="165"/>
      <c r="J372" s="165" t="s">
        <v>654</v>
      </c>
      <c r="K372" s="87" t="s">
        <v>479</v>
      </c>
      <c r="L372" s="87"/>
      <c r="M372" s="87"/>
      <c r="N372" s="87" t="s">
        <v>479</v>
      </c>
      <c r="O372" s="180" t="s">
        <v>646</v>
      </c>
      <c r="P372" s="35"/>
      <c r="Q372" s="35" t="str">
        <f t="shared" si="24"/>
        <v>-grained, homogeneous,  marble</v>
      </c>
      <c r="R372" s="35"/>
      <c r="S372" s="35"/>
      <c r="T372" s="35" t="s">
        <v>194</v>
      </c>
      <c r="U372" s="165"/>
      <c r="V372" s="165"/>
      <c r="W372" s="56" t="s">
        <v>190</v>
      </c>
      <c r="X372" s="35"/>
      <c r="Y372" s="35"/>
      <c r="Z372" s="35"/>
      <c r="AA372" s="35"/>
      <c r="AB372" s="35"/>
      <c r="AC372" s="35"/>
      <c r="AD372" s="165"/>
      <c r="AE372" s="171"/>
      <c r="AF372" s="165"/>
      <c r="AG372" s="165"/>
      <c r="AH372" s="165"/>
      <c r="AI372" s="165"/>
      <c r="AJ372" s="165"/>
      <c r="AK372" s="165"/>
      <c r="AL372" s="165"/>
      <c r="AM372" s="181"/>
      <c r="AN372" s="181"/>
      <c r="AO372" s="28">
        <f t="shared" si="26"/>
        <v>0</v>
      </c>
      <c r="AP372" s="181"/>
      <c r="AQ372" s="178"/>
      <c r="AR372" s="182"/>
      <c r="AS372" s="178"/>
      <c r="AT372" s="178"/>
      <c r="AU372" s="178"/>
      <c r="AV372" s="178"/>
      <c r="AW372" s="178"/>
      <c r="AX372" s="178"/>
      <c r="AY372" s="178"/>
      <c r="AZ372" s="178"/>
      <c r="BA372" s="178"/>
      <c r="BB372" s="178"/>
      <c r="BC372" s="178"/>
      <c r="BD372" s="178"/>
      <c r="BE372" s="165"/>
      <c r="BF372" s="165"/>
      <c r="BG372" s="165"/>
      <c r="BH372" s="165"/>
      <c r="BI372" s="179"/>
      <c r="BJ372" s="179"/>
      <c r="BK372" s="179"/>
      <c r="BL372" s="179"/>
      <c r="BM372" s="179"/>
      <c r="BN372" s="179"/>
      <c r="BO372" s="188"/>
      <c r="BP372" s="188"/>
      <c r="BQ372" s="188"/>
      <c r="BR372" s="188"/>
      <c r="BS372" s="188">
        <v>680.5</v>
      </c>
      <c r="BT372" s="188"/>
      <c r="BU372" s="188">
        <v>266.0</v>
      </c>
      <c r="BV372" s="179"/>
      <c r="BW372" s="179"/>
      <c r="BX372" s="179" t="s">
        <v>164</v>
      </c>
      <c r="BY372" s="188">
        <v>183.5</v>
      </c>
      <c r="BZ372" s="188"/>
      <c r="CA372" s="188"/>
      <c r="CB372" s="188"/>
      <c r="CC372" s="179"/>
      <c r="CD372" s="179"/>
      <c r="CE372" s="165"/>
      <c r="CF372" s="165"/>
      <c r="CG372" s="165"/>
      <c r="CH372" s="165"/>
      <c r="CI372" s="165"/>
      <c r="CJ372" s="165"/>
      <c r="CK372" s="165"/>
      <c r="CL372" s="165"/>
      <c r="CM372" s="165"/>
      <c r="CN372" s="165"/>
      <c r="CO372" s="165"/>
      <c r="CP372" s="165"/>
      <c r="CQ372" s="165"/>
      <c r="CR372" s="165"/>
      <c r="CS372" s="165"/>
      <c r="CT372" s="165"/>
      <c r="CU372" s="165"/>
      <c r="CV372" s="165"/>
      <c r="CW372" s="185"/>
      <c r="CX372" s="185"/>
      <c r="CY372" s="185"/>
      <c r="CZ372" s="33"/>
      <c r="DA372" s="33"/>
      <c r="DB372" s="33"/>
      <c r="DC372" s="33"/>
      <c r="DD372" s="33"/>
      <c r="DE372" s="33"/>
      <c r="DF372" s="33"/>
      <c r="DG372" s="33"/>
      <c r="DH372" s="33"/>
      <c r="DI372" s="33"/>
    </row>
    <row r="373" ht="15.75" customHeight="1">
      <c r="A373" s="86"/>
      <c r="B373" s="86"/>
      <c r="C373" s="21"/>
      <c r="D373" s="21"/>
      <c r="E373" s="21"/>
      <c r="F373" s="21"/>
      <c r="G373" s="21"/>
      <c r="H373" s="21"/>
      <c r="I373" s="21"/>
      <c r="J373" s="21"/>
      <c r="K373" s="87"/>
      <c r="L373" s="87"/>
      <c r="M373" s="87"/>
      <c r="N373" s="87"/>
      <c r="O373" s="21"/>
      <c r="P373" s="35"/>
      <c r="Q373" s="35"/>
      <c r="R373" s="21"/>
      <c r="S373" s="86"/>
      <c r="T373" s="86"/>
      <c r="U373" s="86"/>
      <c r="V373" s="21"/>
      <c r="W373" s="86"/>
      <c r="X373" s="21"/>
      <c r="Y373" s="21"/>
      <c r="Z373" s="21"/>
      <c r="AA373" s="33"/>
      <c r="AB373" s="50"/>
      <c r="AC373" s="50"/>
      <c r="AD373" s="50"/>
      <c r="AE373" s="36"/>
      <c r="AF373" s="50"/>
      <c r="AG373" s="33"/>
      <c r="AH373" s="33"/>
      <c r="AI373" s="33"/>
      <c r="AJ373" s="33"/>
      <c r="AK373" s="33"/>
      <c r="AL373" s="33"/>
      <c r="AM373" s="21"/>
      <c r="AN373" s="21"/>
      <c r="AO373" s="43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33"/>
      <c r="CF373" s="33"/>
      <c r="CG373" s="33"/>
      <c r="CH373" s="33"/>
      <c r="CI373" s="33"/>
      <c r="CJ373" s="33"/>
      <c r="CK373" s="33"/>
      <c r="CL373" s="33"/>
      <c r="CM373" s="33"/>
      <c r="CN373" s="33"/>
      <c r="CO373" s="33"/>
      <c r="CP373" s="33"/>
      <c r="CQ373" s="33"/>
      <c r="CR373" s="33"/>
      <c r="CS373" s="33"/>
      <c r="CT373" s="33"/>
      <c r="CU373" s="33"/>
      <c r="CV373" s="33"/>
      <c r="CW373" s="90"/>
      <c r="CX373" s="185"/>
      <c r="CY373" s="185"/>
      <c r="CZ373" s="50"/>
      <c r="DA373" s="33"/>
      <c r="DB373" s="33"/>
      <c r="DC373" s="33"/>
      <c r="DD373" s="33"/>
      <c r="DE373" s="33"/>
      <c r="DF373" s="33"/>
      <c r="DG373" s="33"/>
      <c r="DH373" s="33"/>
      <c r="DI373" s="33"/>
      <c r="DJ373" s="50"/>
      <c r="DK373" s="63"/>
      <c r="DL373" s="63"/>
      <c r="DM373" s="63"/>
      <c r="DN373" s="63"/>
      <c r="DO373" s="63"/>
      <c r="DP373" s="63"/>
      <c r="DQ373" s="63"/>
      <c r="DR373" s="63"/>
      <c r="DS373" s="63"/>
      <c r="DT373" s="63"/>
      <c r="DU373" s="63"/>
      <c r="DV373" s="63"/>
      <c r="DW373" s="63"/>
      <c r="DX373" s="63"/>
      <c r="DY373" s="63"/>
      <c r="DZ373" s="63"/>
      <c r="EA373" s="63"/>
      <c r="EB373" s="63"/>
      <c r="EC373" s="63"/>
      <c r="ED373" s="63"/>
      <c r="EE373" s="63"/>
      <c r="EF373" s="63"/>
      <c r="EG373" s="63"/>
      <c r="EH373" s="63"/>
      <c r="EI373" s="63"/>
      <c r="EJ373" s="63"/>
      <c r="EK373" s="63"/>
      <c r="EL373" s="63"/>
      <c r="EM373" s="63"/>
      <c r="EN373" s="63"/>
      <c r="EO373" s="63"/>
      <c r="EP373" s="63"/>
      <c r="EQ373" s="63"/>
      <c r="ER373" s="63"/>
      <c r="ES373" s="63"/>
      <c r="ET373" s="63"/>
      <c r="EU373" s="63"/>
      <c r="EV373" s="63"/>
      <c r="EW373" s="63"/>
      <c r="EX373" s="63"/>
      <c r="EY373" s="63"/>
      <c r="EZ373" s="40"/>
    </row>
    <row r="374" ht="15.75" customHeight="1">
      <c r="K374" s="192"/>
      <c r="L374" s="192"/>
      <c r="M374" s="192"/>
      <c r="N374" s="192"/>
      <c r="AE374" s="110"/>
      <c r="AO374" s="43"/>
      <c r="CW374" s="104"/>
      <c r="CX374" s="104"/>
      <c r="CY374" s="104"/>
    </row>
    <row r="375" ht="15.75" customHeight="1">
      <c r="K375" s="192"/>
      <c r="L375" s="192"/>
      <c r="M375" s="192"/>
      <c r="N375" s="192"/>
      <c r="AE375" s="110"/>
      <c r="AO375" s="43">
        <f t="shared" ref="AO375:AO413" si="27">SUM(AP375,AQ375,AR375)</f>
        <v>0</v>
      </c>
      <c r="CW375" s="104"/>
      <c r="CX375" s="104"/>
      <c r="CY375" s="104"/>
    </row>
    <row r="376" ht="15.75" customHeight="1">
      <c r="K376" s="192"/>
      <c r="L376" s="192"/>
      <c r="M376" s="192"/>
      <c r="N376" s="192"/>
      <c r="AE376" s="110"/>
      <c r="AO376" s="43">
        <f t="shared" si="27"/>
        <v>0</v>
      </c>
      <c r="CW376" s="104"/>
      <c r="CX376" s="104"/>
      <c r="CY376" s="104"/>
    </row>
    <row r="377" ht="15.75" customHeight="1">
      <c r="K377" s="192"/>
      <c r="L377" s="192"/>
      <c r="M377" s="192"/>
      <c r="N377" s="192"/>
      <c r="AE377" s="110"/>
      <c r="AO377" s="43">
        <f t="shared" si="27"/>
        <v>0</v>
      </c>
      <c r="CW377" s="104"/>
      <c r="CX377" s="104"/>
      <c r="CY377" s="104"/>
    </row>
    <row r="378" ht="15.75" customHeight="1">
      <c r="K378" s="192"/>
      <c r="L378" s="192"/>
      <c r="M378" s="192"/>
      <c r="N378" s="192"/>
      <c r="AE378" s="110"/>
      <c r="AO378" s="43">
        <f t="shared" si="27"/>
        <v>0</v>
      </c>
      <c r="CW378" s="104"/>
      <c r="CX378" s="104"/>
      <c r="CY378" s="104"/>
    </row>
    <row r="379" ht="15.75" customHeight="1">
      <c r="K379" s="192"/>
      <c r="L379" s="192"/>
      <c r="M379" s="192"/>
      <c r="N379" s="192"/>
      <c r="AE379" s="110"/>
      <c r="AO379" s="43">
        <f t="shared" si="27"/>
        <v>0</v>
      </c>
      <c r="CW379" s="104"/>
      <c r="CX379" s="104"/>
      <c r="CY379" s="104"/>
    </row>
    <row r="380" ht="15.75" customHeight="1">
      <c r="K380" s="192"/>
      <c r="L380" s="192"/>
      <c r="M380" s="192"/>
      <c r="N380" s="192"/>
      <c r="AE380" s="110"/>
      <c r="AO380" s="43">
        <f t="shared" si="27"/>
        <v>0</v>
      </c>
      <c r="CW380" s="104"/>
      <c r="CX380" s="104"/>
      <c r="CY380" s="104"/>
    </row>
    <row r="381" ht="15.75" customHeight="1">
      <c r="K381" s="192"/>
      <c r="L381" s="192"/>
      <c r="M381" s="192"/>
      <c r="N381" s="192"/>
      <c r="AE381" s="110"/>
      <c r="AO381" s="43">
        <f t="shared" si="27"/>
        <v>0</v>
      </c>
      <c r="CW381" s="104"/>
      <c r="CX381" s="104"/>
      <c r="CY381" s="104"/>
    </row>
    <row r="382" ht="15.75" customHeight="1">
      <c r="K382" s="192"/>
      <c r="L382" s="192"/>
      <c r="M382" s="192"/>
      <c r="N382" s="192"/>
      <c r="AE382" s="110"/>
      <c r="AO382" s="43">
        <f t="shared" si="27"/>
        <v>0</v>
      </c>
      <c r="CW382" s="104"/>
      <c r="CX382" s="104"/>
      <c r="CY382" s="104"/>
    </row>
    <row r="383" ht="15.75" customHeight="1">
      <c r="K383" s="192"/>
      <c r="L383" s="192"/>
      <c r="M383" s="192"/>
      <c r="N383" s="192"/>
      <c r="AE383" s="110"/>
      <c r="AO383" s="43">
        <f t="shared" si="27"/>
        <v>0</v>
      </c>
      <c r="CW383" s="104"/>
      <c r="CX383" s="104"/>
      <c r="CY383" s="104"/>
    </row>
    <row r="384" ht="15.75" customHeight="1">
      <c r="K384" s="192"/>
      <c r="L384" s="192"/>
      <c r="M384" s="192"/>
      <c r="N384" s="192"/>
      <c r="AE384" s="110"/>
      <c r="AO384" s="43">
        <f t="shared" si="27"/>
        <v>0</v>
      </c>
      <c r="CW384" s="104"/>
      <c r="CX384" s="104"/>
      <c r="CY384" s="104"/>
    </row>
    <row r="385" ht="15.75" customHeight="1">
      <c r="K385" s="192"/>
      <c r="L385" s="192"/>
      <c r="M385" s="192"/>
      <c r="N385" s="192"/>
      <c r="AE385" s="110"/>
      <c r="AO385" s="43">
        <f t="shared" si="27"/>
        <v>0</v>
      </c>
      <c r="CW385" s="104"/>
      <c r="CX385" s="104"/>
      <c r="CY385" s="104"/>
    </row>
    <row r="386" ht="15.75" customHeight="1">
      <c r="K386" s="192"/>
      <c r="L386" s="192"/>
      <c r="M386" s="192"/>
      <c r="N386" s="192"/>
      <c r="AE386" s="110"/>
      <c r="AO386" s="43">
        <f t="shared" si="27"/>
        <v>0</v>
      </c>
      <c r="CW386" s="104"/>
      <c r="CX386" s="104"/>
      <c r="CY386" s="104"/>
    </row>
    <row r="387" ht="15.75" customHeight="1">
      <c r="K387" s="192"/>
      <c r="L387" s="192"/>
      <c r="M387" s="192"/>
      <c r="N387" s="192"/>
      <c r="AE387" s="110"/>
      <c r="AO387" s="43">
        <f t="shared" si="27"/>
        <v>0</v>
      </c>
      <c r="CW387" s="104"/>
      <c r="CX387" s="104"/>
      <c r="CY387" s="104"/>
    </row>
    <row r="388" ht="15.75" customHeight="1">
      <c r="K388" s="192"/>
      <c r="L388" s="192"/>
      <c r="M388" s="192"/>
      <c r="N388" s="192"/>
      <c r="AE388" s="110"/>
      <c r="AO388" s="43">
        <f t="shared" si="27"/>
        <v>0</v>
      </c>
      <c r="CW388" s="104"/>
      <c r="CX388" s="104"/>
      <c r="CY388" s="104"/>
    </row>
    <row r="389" ht="15.75" customHeight="1">
      <c r="K389" s="192"/>
      <c r="L389" s="192"/>
      <c r="M389" s="192"/>
      <c r="N389" s="192"/>
      <c r="AE389" s="110"/>
      <c r="AO389" s="43">
        <f t="shared" si="27"/>
        <v>0</v>
      </c>
      <c r="CW389" s="104"/>
      <c r="CX389" s="104"/>
      <c r="CY389" s="104"/>
    </row>
    <row r="390" ht="15.75" customHeight="1">
      <c r="K390" s="192"/>
      <c r="L390" s="192"/>
      <c r="M390" s="192"/>
      <c r="N390" s="192"/>
      <c r="AE390" s="110"/>
      <c r="AO390" s="43">
        <f t="shared" si="27"/>
        <v>0</v>
      </c>
      <c r="CW390" s="104"/>
      <c r="CX390" s="104"/>
      <c r="CY390" s="104"/>
    </row>
    <row r="391" ht="15.75" customHeight="1">
      <c r="K391" s="192"/>
      <c r="L391" s="192"/>
      <c r="M391" s="192"/>
      <c r="N391" s="192"/>
      <c r="AE391" s="110"/>
      <c r="AO391" s="43">
        <f t="shared" si="27"/>
        <v>0</v>
      </c>
      <c r="CW391" s="104"/>
      <c r="CX391" s="104"/>
      <c r="CY391" s="104"/>
    </row>
    <row r="392" ht="15.75" customHeight="1">
      <c r="K392" s="192"/>
      <c r="L392" s="192"/>
      <c r="M392" s="192"/>
      <c r="N392" s="192"/>
      <c r="AE392" s="110"/>
      <c r="AO392" s="43">
        <f t="shared" si="27"/>
        <v>0</v>
      </c>
      <c r="CW392" s="104"/>
      <c r="CX392" s="104"/>
      <c r="CY392" s="104"/>
    </row>
    <row r="393" ht="15.75" customHeight="1">
      <c r="K393" s="192"/>
      <c r="L393" s="192"/>
      <c r="M393" s="192"/>
      <c r="N393" s="192"/>
      <c r="AE393" s="110"/>
      <c r="AO393" s="43">
        <f t="shared" si="27"/>
        <v>0</v>
      </c>
      <c r="CW393" s="104"/>
      <c r="CX393" s="104"/>
      <c r="CY393" s="104"/>
    </row>
    <row r="394" ht="15.75" customHeight="1">
      <c r="K394" s="192"/>
      <c r="L394" s="192"/>
      <c r="M394" s="192"/>
      <c r="N394" s="192"/>
      <c r="AE394" s="110"/>
      <c r="AO394" s="43">
        <f t="shared" si="27"/>
        <v>0</v>
      </c>
      <c r="CW394" s="104"/>
      <c r="CX394" s="104"/>
      <c r="CY394" s="104"/>
    </row>
    <row r="395" ht="15.75" customHeight="1">
      <c r="K395" s="192"/>
      <c r="L395" s="192"/>
      <c r="M395" s="192"/>
      <c r="N395" s="192"/>
      <c r="AE395" s="110"/>
      <c r="AO395" s="43">
        <f t="shared" si="27"/>
        <v>0</v>
      </c>
      <c r="CW395" s="104"/>
      <c r="CX395" s="104"/>
      <c r="CY395" s="104"/>
    </row>
    <row r="396" ht="15.75" customHeight="1">
      <c r="K396" s="192"/>
      <c r="L396" s="192"/>
      <c r="M396" s="192"/>
      <c r="N396" s="192"/>
      <c r="AE396" s="110"/>
      <c r="AO396" s="43">
        <f t="shared" si="27"/>
        <v>0</v>
      </c>
      <c r="CW396" s="104"/>
      <c r="CX396" s="104"/>
      <c r="CY396" s="104"/>
    </row>
    <row r="397" ht="15.75" customHeight="1">
      <c r="K397" s="192"/>
      <c r="L397" s="192"/>
      <c r="M397" s="192"/>
      <c r="N397" s="192"/>
      <c r="AE397" s="110"/>
      <c r="AO397" s="43">
        <f t="shared" si="27"/>
        <v>0</v>
      </c>
      <c r="CW397" s="104"/>
      <c r="CX397" s="104"/>
      <c r="CY397" s="104"/>
    </row>
    <row r="398" ht="15.75" customHeight="1">
      <c r="K398" s="192"/>
      <c r="L398" s="192"/>
      <c r="M398" s="192"/>
      <c r="N398" s="192"/>
      <c r="AE398" s="110"/>
      <c r="AO398" s="43">
        <f t="shared" si="27"/>
        <v>0</v>
      </c>
      <c r="CW398" s="104"/>
      <c r="CX398" s="104"/>
      <c r="CY398" s="104"/>
    </row>
    <row r="399" ht="15.75" customHeight="1">
      <c r="K399" s="192"/>
      <c r="L399" s="192"/>
      <c r="M399" s="192"/>
      <c r="N399" s="192"/>
      <c r="AE399" s="110"/>
      <c r="AO399" s="43">
        <f t="shared" si="27"/>
        <v>0</v>
      </c>
      <c r="CW399" s="104"/>
      <c r="CX399" s="104"/>
      <c r="CY399" s="104"/>
    </row>
    <row r="400" ht="15.75" customHeight="1">
      <c r="K400" s="192"/>
      <c r="L400" s="192"/>
      <c r="M400" s="192"/>
      <c r="N400" s="192"/>
      <c r="AE400" s="110"/>
      <c r="AO400" s="43">
        <f t="shared" si="27"/>
        <v>0</v>
      </c>
      <c r="CW400" s="104"/>
      <c r="CX400" s="104"/>
      <c r="CY400" s="104"/>
    </row>
    <row r="401" ht="15.75" customHeight="1">
      <c r="K401" s="192"/>
      <c r="L401" s="192"/>
      <c r="M401" s="192"/>
      <c r="N401" s="192"/>
      <c r="AE401" s="110"/>
      <c r="AO401" s="43">
        <f t="shared" si="27"/>
        <v>0</v>
      </c>
      <c r="CW401" s="104"/>
      <c r="CX401" s="104"/>
      <c r="CY401" s="104"/>
    </row>
    <row r="402" ht="15.75" customHeight="1">
      <c r="K402" s="192"/>
      <c r="L402" s="192"/>
      <c r="M402" s="192"/>
      <c r="N402" s="192"/>
      <c r="AE402" s="110"/>
      <c r="AO402" s="43">
        <f t="shared" si="27"/>
        <v>0</v>
      </c>
      <c r="CW402" s="104"/>
      <c r="CX402" s="104"/>
      <c r="CY402" s="104"/>
    </row>
    <row r="403" ht="15.75" customHeight="1">
      <c r="K403" s="192"/>
      <c r="L403" s="192"/>
      <c r="M403" s="192"/>
      <c r="N403" s="192"/>
      <c r="AE403" s="110"/>
      <c r="AO403" s="43">
        <f t="shared" si="27"/>
        <v>0</v>
      </c>
      <c r="CW403" s="104"/>
      <c r="CX403" s="104"/>
      <c r="CY403" s="104"/>
    </row>
    <row r="404" ht="15.75" customHeight="1">
      <c r="K404" s="192"/>
      <c r="L404" s="192"/>
      <c r="M404" s="192"/>
      <c r="N404" s="192"/>
      <c r="AE404" s="110"/>
      <c r="AO404" s="43">
        <f t="shared" si="27"/>
        <v>0</v>
      </c>
      <c r="CW404" s="104"/>
      <c r="CX404" s="104"/>
      <c r="CY404" s="104"/>
    </row>
    <row r="405" ht="15.75" customHeight="1">
      <c r="K405" s="192"/>
      <c r="L405" s="192"/>
      <c r="M405" s="192"/>
      <c r="N405" s="192"/>
      <c r="AE405" s="110"/>
      <c r="AO405" s="43">
        <f t="shared" si="27"/>
        <v>0</v>
      </c>
      <c r="CW405" s="104"/>
      <c r="CX405" s="104"/>
      <c r="CY405" s="104"/>
    </row>
    <row r="406" ht="15.75" customHeight="1">
      <c r="K406" s="192"/>
      <c r="L406" s="192"/>
      <c r="M406" s="192"/>
      <c r="N406" s="192"/>
      <c r="AE406" s="110"/>
      <c r="AO406" s="43">
        <f t="shared" si="27"/>
        <v>0</v>
      </c>
      <c r="CW406" s="104"/>
      <c r="CX406" s="104"/>
      <c r="CY406" s="104"/>
    </row>
    <row r="407" ht="15.75" customHeight="1">
      <c r="K407" s="192"/>
      <c r="L407" s="192"/>
      <c r="M407" s="192"/>
      <c r="N407" s="192"/>
      <c r="AE407" s="110"/>
      <c r="AO407" s="43">
        <f t="shared" si="27"/>
        <v>0</v>
      </c>
      <c r="CW407" s="104"/>
      <c r="CX407" s="104"/>
      <c r="CY407" s="104"/>
    </row>
    <row r="408" ht="15.75" customHeight="1">
      <c r="K408" s="192"/>
      <c r="L408" s="192"/>
      <c r="M408" s="192"/>
      <c r="N408" s="192"/>
      <c r="AE408" s="110"/>
      <c r="AO408" s="43">
        <f t="shared" si="27"/>
        <v>0</v>
      </c>
      <c r="CW408" s="104"/>
      <c r="CX408" s="104"/>
      <c r="CY408" s="104"/>
    </row>
    <row r="409" ht="15.75" customHeight="1">
      <c r="K409" s="192"/>
      <c r="L409" s="192"/>
      <c r="M409" s="192"/>
      <c r="N409" s="192"/>
      <c r="AE409" s="110"/>
      <c r="AO409" s="43">
        <f t="shared" si="27"/>
        <v>0</v>
      </c>
      <c r="CW409" s="104"/>
      <c r="CX409" s="104"/>
      <c r="CY409" s="104"/>
    </row>
    <row r="410" ht="15.75" customHeight="1">
      <c r="K410" s="192"/>
      <c r="L410" s="192"/>
      <c r="M410" s="192"/>
      <c r="N410" s="192"/>
      <c r="AE410" s="110"/>
      <c r="AO410" s="43">
        <f t="shared" si="27"/>
        <v>0</v>
      </c>
      <c r="CW410" s="104"/>
      <c r="CX410" s="104"/>
      <c r="CY410" s="104"/>
    </row>
    <row r="411" ht="15.75" customHeight="1">
      <c r="K411" s="192"/>
      <c r="L411" s="192"/>
      <c r="M411" s="192"/>
      <c r="N411" s="192"/>
      <c r="AE411" s="110"/>
      <c r="AO411" s="43">
        <f t="shared" si="27"/>
        <v>0</v>
      </c>
      <c r="CW411" s="104"/>
      <c r="CX411" s="104"/>
      <c r="CY411" s="104"/>
    </row>
    <row r="412" ht="15.75" customHeight="1">
      <c r="K412" s="192"/>
      <c r="L412" s="192"/>
      <c r="M412" s="192"/>
      <c r="N412" s="192"/>
      <c r="AE412" s="110"/>
      <c r="AO412" s="43">
        <f t="shared" si="27"/>
        <v>0</v>
      </c>
      <c r="CW412" s="104"/>
      <c r="CX412" s="104"/>
      <c r="CY412" s="104"/>
    </row>
    <row r="413" ht="15.75" customHeight="1">
      <c r="K413" s="192"/>
      <c r="L413" s="192"/>
      <c r="M413" s="192"/>
      <c r="N413" s="192"/>
      <c r="AE413" s="110"/>
      <c r="AO413" s="43">
        <f t="shared" si="27"/>
        <v>0</v>
      </c>
      <c r="CW413" s="104"/>
      <c r="CX413" s="104"/>
      <c r="CY413" s="104"/>
    </row>
    <row r="414" ht="15.75" customHeight="1">
      <c r="K414" s="192"/>
      <c r="L414" s="192"/>
      <c r="M414" s="192"/>
      <c r="N414" s="192"/>
      <c r="AE414" s="110"/>
      <c r="CW414" s="104"/>
      <c r="CX414" s="104"/>
      <c r="CY414" s="104"/>
    </row>
    <row r="415" ht="15.75" customHeight="1">
      <c r="K415" s="192"/>
      <c r="L415" s="192"/>
      <c r="M415" s="192"/>
      <c r="N415" s="192"/>
      <c r="AE415" s="110"/>
      <c r="CW415" s="104"/>
      <c r="CX415" s="104"/>
      <c r="CY415" s="104"/>
    </row>
    <row r="416" ht="15.75" customHeight="1">
      <c r="K416" s="192"/>
      <c r="L416" s="192"/>
      <c r="M416" s="192"/>
      <c r="N416" s="192"/>
      <c r="AE416" s="110"/>
      <c r="CW416" s="104"/>
      <c r="CX416" s="104"/>
      <c r="CY416" s="104"/>
    </row>
    <row r="417" ht="15.75" customHeight="1">
      <c r="K417" s="192"/>
      <c r="L417" s="192"/>
      <c r="M417" s="192"/>
      <c r="N417" s="192"/>
      <c r="AE417" s="110"/>
      <c r="CW417" s="104"/>
      <c r="CX417" s="104"/>
      <c r="CY417" s="104"/>
    </row>
    <row r="418" ht="15.75" customHeight="1">
      <c r="K418" s="192"/>
      <c r="L418" s="192"/>
      <c r="M418" s="192"/>
      <c r="N418" s="192"/>
      <c r="AE418" s="110"/>
      <c r="CW418" s="104"/>
      <c r="CX418" s="104"/>
      <c r="CY418" s="104"/>
    </row>
    <row r="419" ht="15.75" customHeight="1">
      <c r="K419" s="192"/>
      <c r="L419" s="192"/>
      <c r="M419" s="192"/>
      <c r="N419" s="192"/>
      <c r="AE419" s="110"/>
      <c r="CW419" s="104"/>
      <c r="CX419" s="104"/>
      <c r="CY419" s="104"/>
    </row>
    <row r="420" ht="15.75" customHeight="1">
      <c r="K420" s="192"/>
      <c r="L420" s="192"/>
      <c r="M420" s="192"/>
      <c r="N420" s="192"/>
      <c r="AE420" s="110"/>
      <c r="CW420" s="104"/>
      <c r="CX420" s="104"/>
      <c r="CY420" s="104"/>
    </row>
    <row r="421" ht="15.75" customHeight="1">
      <c r="K421" s="192"/>
      <c r="L421" s="192"/>
      <c r="M421" s="192"/>
      <c r="N421" s="192"/>
      <c r="AE421" s="110"/>
      <c r="CW421" s="104"/>
      <c r="CX421" s="104"/>
      <c r="CY421" s="104"/>
    </row>
    <row r="422" ht="15.75" customHeight="1">
      <c r="K422" s="192"/>
      <c r="L422" s="192"/>
      <c r="M422" s="192"/>
      <c r="N422" s="192"/>
      <c r="AE422" s="110"/>
      <c r="CW422" s="104"/>
      <c r="CX422" s="104"/>
      <c r="CY422" s="104"/>
    </row>
    <row r="423" ht="15.75" customHeight="1">
      <c r="K423" s="192"/>
      <c r="L423" s="192"/>
      <c r="M423" s="192"/>
      <c r="N423" s="192"/>
      <c r="AE423" s="110"/>
      <c r="CW423" s="104"/>
      <c r="CX423" s="104"/>
      <c r="CY423" s="104"/>
    </row>
    <row r="424" ht="15.75" customHeight="1">
      <c r="K424" s="192"/>
      <c r="L424" s="192"/>
      <c r="M424" s="192"/>
      <c r="N424" s="192"/>
      <c r="AE424" s="110"/>
      <c r="CW424" s="104"/>
      <c r="CX424" s="104"/>
      <c r="CY424" s="104"/>
    </row>
    <row r="425" ht="15.75" customHeight="1">
      <c r="K425" s="192"/>
      <c r="L425" s="192"/>
      <c r="M425" s="192"/>
      <c r="N425" s="192"/>
      <c r="AE425" s="110"/>
      <c r="CW425" s="104"/>
      <c r="CX425" s="104"/>
      <c r="CY425" s="104"/>
    </row>
    <row r="426" ht="15.75" customHeight="1">
      <c r="K426" s="192"/>
      <c r="L426" s="192"/>
      <c r="M426" s="192"/>
      <c r="N426" s="192"/>
      <c r="AE426" s="110"/>
      <c r="CW426" s="104"/>
      <c r="CX426" s="104"/>
      <c r="CY426" s="104"/>
    </row>
    <row r="427" ht="15.75" customHeight="1">
      <c r="K427" s="192"/>
      <c r="L427" s="192"/>
      <c r="M427" s="192"/>
      <c r="N427" s="192"/>
      <c r="AE427" s="110"/>
      <c r="CW427" s="104"/>
      <c r="CX427" s="104"/>
      <c r="CY427" s="104"/>
    </row>
    <row r="428" ht="15.75" customHeight="1">
      <c r="K428" s="192"/>
      <c r="L428" s="192"/>
      <c r="M428" s="192"/>
      <c r="N428" s="192"/>
      <c r="AE428" s="110"/>
      <c r="CW428" s="104"/>
      <c r="CX428" s="104"/>
      <c r="CY428" s="104"/>
    </row>
    <row r="429" ht="15.75" customHeight="1">
      <c r="K429" s="192"/>
      <c r="L429" s="192"/>
      <c r="M429" s="192"/>
      <c r="N429" s="192"/>
      <c r="AE429" s="110"/>
      <c r="CW429" s="104"/>
      <c r="CX429" s="104"/>
      <c r="CY429" s="104"/>
    </row>
    <row r="430" ht="15.75" customHeight="1">
      <c r="K430" s="192"/>
      <c r="L430" s="192"/>
      <c r="M430" s="192"/>
      <c r="N430" s="192"/>
      <c r="AE430" s="110"/>
      <c r="CW430" s="104"/>
      <c r="CX430" s="104"/>
      <c r="CY430" s="104"/>
    </row>
    <row r="431" ht="15.75" customHeight="1">
      <c r="K431" s="192"/>
      <c r="L431" s="192"/>
      <c r="M431" s="192"/>
      <c r="N431" s="192"/>
      <c r="AE431" s="110"/>
      <c r="CW431" s="104"/>
      <c r="CX431" s="104"/>
      <c r="CY431" s="104"/>
    </row>
    <row r="432" ht="15.75" customHeight="1">
      <c r="K432" s="192"/>
      <c r="L432" s="192"/>
      <c r="M432" s="192"/>
      <c r="N432" s="192"/>
      <c r="AE432" s="110"/>
      <c r="CW432" s="104"/>
      <c r="CX432" s="104"/>
      <c r="CY432" s="104"/>
    </row>
    <row r="433" ht="15.75" customHeight="1">
      <c r="K433" s="192"/>
      <c r="L433" s="192"/>
      <c r="M433" s="192"/>
      <c r="N433" s="192"/>
      <c r="AE433" s="110"/>
      <c r="CW433" s="104"/>
      <c r="CX433" s="104"/>
      <c r="CY433" s="104"/>
    </row>
    <row r="434" ht="15.75" customHeight="1">
      <c r="K434" s="192"/>
      <c r="L434" s="192"/>
      <c r="M434" s="192"/>
      <c r="N434" s="192"/>
      <c r="AE434" s="110"/>
      <c r="CW434" s="104"/>
      <c r="CX434" s="104"/>
      <c r="CY434" s="104"/>
    </row>
    <row r="435" ht="15.75" customHeight="1">
      <c r="K435" s="192"/>
      <c r="L435" s="192"/>
      <c r="M435" s="192"/>
      <c r="N435" s="192"/>
      <c r="AE435" s="110"/>
      <c r="CW435" s="104"/>
      <c r="CX435" s="104"/>
      <c r="CY435" s="104"/>
    </row>
    <row r="436" ht="15.75" customHeight="1">
      <c r="K436" s="192"/>
      <c r="L436" s="192"/>
      <c r="M436" s="192"/>
      <c r="N436" s="192"/>
      <c r="AE436" s="110"/>
      <c r="CW436" s="104"/>
      <c r="CX436" s="104"/>
      <c r="CY436" s="104"/>
    </row>
    <row r="437" ht="15.75" customHeight="1">
      <c r="K437" s="192"/>
      <c r="L437" s="192"/>
      <c r="M437" s="192"/>
      <c r="N437" s="192"/>
      <c r="AE437" s="110"/>
      <c r="CW437" s="104"/>
      <c r="CX437" s="104"/>
      <c r="CY437" s="104"/>
    </row>
    <row r="438" ht="15.75" customHeight="1">
      <c r="K438" s="192"/>
      <c r="L438" s="192"/>
      <c r="M438" s="192"/>
      <c r="N438" s="192"/>
      <c r="AE438" s="110"/>
      <c r="CW438" s="104"/>
      <c r="CX438" s="104"/>
      <c r="CY438" s="104"/>
    </row>
    <row r="439" ht="15.75" customHeight="1">
      <c r="K439" s="192"/>
      <c r="L439" s="192"/>
      <c r="M439" s="192"/>
      <c r="N439" s="192"/>
      <c r="AE439" s="110"/>
      <c r="CW439" s="104"/>
      <c r="CX439" s="104"/>
      <c r="CY439" s="104"/>
    </row>
    <row r="440" ht="15.75" customHeight="1">
      <c r="K440" s="192"/>
      <c r="L440" s="192"/>
      <c r="M440" s="192"/>
      <c r="N440" s="192"/>
      <c r="AE440" s="110"/>
      <c r="CW440" s="104"/>
      <c r="CX440" s="104"/>
      <c r="CY440" s="104"/>
    </row>
    <row r="441" ht="15.75" customHeight="1">
      <c r="K441" s="192"/>
      <c r="L441" s="192"/>
      <c r="M441" s="192"/>
      <c r="N441" s="192"/>
      <c r="AE441" s="110"/>
      <c r="CW441" s="104"/>
      <c r="CX441" s="104"/>
      <c r="CY441" s="104"/>
    </row>
    <row r="442" ht="15.75" customHeight="1">
      <c r="K442" s="192"/>
      <c r="L442" s="192"/>
      <c r="M442" s="192"/>
      <c r="N442" s="192"/>
      <c r="AE442" s="110"/>
      <c r="CW442" s="104"/>
      <c r="CX442" s="104"/>
      <c r="CY442" s="104"/>
    </row>
    <row r="443" ht="15.75" customHeight="1">
      <c r="K443" s="192"/>
      <c r="L443" s="192"/>
      <c r="M443" s="192"/>
      <c r="N443" s="192"/>
      <c r="AE443" s="110"/>
      <c r="CW443" s="104"/>
      <c r="CX443" s="104"/>
      <c r="CY443" s="104"/>
    </row>
    <row r="444" ht="15.75" customHeight="1">
      <c r="K444" s="192"/>
      <c r="L444" s="192"/>
      <c r="M444" s="192"/>
      <c r="N444" s="192"/>
      <c r="AE444" s="110"/>
      <c r="CW444" s="104"/>
      <c r="CX444" s="104"/>
      <c r="CY444" s="104"/>
    </row>
    <row r="445" ht="15.75" customHeight="1">
      <c r="K445" s="192"/>
      <c r="L445" s="192"/>
      <c r="M445" s="192"/>
      <c r="N445" s="192"/>
      <c r="AE445" s="110"/>
      <c r="CW445" s="104"/>
      <c r="CX445" s="104"/>
      <c r="CY445" s="104"/>
    </row>
    <row r="446" ht="15.75" customHeight="1">
      <c r="K446" s="192"/>
      <c r="L446" s="192"/>
      <c r="M446" s="192"/>
      <c r="N446" s="192"/>
      <c r="AE446" s="110"/>
      <c r="CW446" s="104"/>
      <c r="CX446" s="104"/>
      <c r="CY446" s="104"/>
    </row>
    <row r="447" ht="15.75" customHeight="1">
      <c r="K447" s="192"/>
      <c r="L447" s="192"/>
      <c r="M447" s="192"/>
      <c r="N447" s="192"/>
      <c r="AE447" s="110"/>
      <c r="CW447" s="104"/>
      <c r="CX447" s="104"/>
      <c r="CY447" s="104"/>
    </row>
    <row r="448" ht="15.75" customHeight="1">
      <c r="K448" s="192"/>
      <c r="L448" s="192"/>
      <c r="M448" s="192"/>
      <c r="N448" s="192"/>
      <c r="AE448" s="110"/>
      <c r="CW448" s="104"/>
      <c r="CX448" s="104"/>
      <c r="CY448" s="104"/>
    </row>
    <row r="449" ht="15.75" customHeight="1">
      <c r="K449" s="192"/>
      <c r="L449" s="192"/>
      <c r="M449" s="192"/>
      <c r="N449" s="192"/>
      <c r="AE449" s="110"/>
      <c r="CW449" s="104"/>
      <c r="CX449" s="104"/>
      <c r="CY449" s="104"/>
    </row>
    <row r="450" ht="15.75" customHeight="1">
      <c r="K450" s="192"/>
      <c r="L450" s="192"/>
      <c r="M450" s="192"/>
      <c r="N450" s="192"/>
      <c r="AE450" s="110"/>
      <c r="CW450" s="104"/>
      <c r="CX450" s="104"/>
      <c r="CY450" s="104"/>
    </row>
    <row r="451" ht="15.75" customHeight="1">
      <c r="K451" s="192"/>
      <c r="L451" s="192"/>
      <c r="M451" s="192"/>
      <c r="N451" s="192"/>
      <c r="AE451" s="110"/>
      <c r="CW451" s="104"/>
      <c r="CX451" s="104"/>
      <c r="CY451" s="104"/>
    </row>
    <row r="452" ht="15.75" customHeight="1">
      <c r="K452" s="192"/>
      <c r="L452" s="192"/>
      <c r="M452" s="192"/>
      <c r="N452" s="192"/>
      <c r="AE452" s="110"/>
      <c r="CW452" s="104"/>
      <c r="CX452" s="104"/>
      <c r="CY452" s="104"/>
    </row>
    <row r="453" ht="15.75" customHeight="1">
      <c r="K453" s="192"/>
      <c r="L453" s="192"/>
      <c r="M453" s="192"/>
      <c r="N453" s="192"/>
      <c r="AE453" s="110"/>
      <c r="CW453" s="104"/>
      <c r="CX453" s="104"/>
      <c r="CY453" s="104"/>
    </row>
    <row r="454" ht="15.75" customHeight="1">
      <c r="K454" s="192"/>
      <c r="L454" s="192"/>
      <c r="M454" s="192"/>
      <c r="N454" s="192"/>
      <c r="AE454" s="110"/>
      <c r="CW454" s="104"/>
      <c r="CX454" s="104"/>
      <c r="CY454" s="104"/>
    </row>
    <row r="455" ht="15.75" customHeight="1">
      <c r="K455" s="192"/>
      <c r="L455" s="192"/>
      <c r="M455" s="192"/>
      <c r="N455" s="192"/>
      <c r="AE455" s="110"/>
      <c r="CW455" s="104"/>
      <c r="CX455" s="104"/>
      <c r="CY455" s="104"/>
    </row>
    <row r="456" ht="15.75" customHeight="1">
      <c r="K456" s="192"/>
      <c r="L456" s="192"/>
      <c r="M456" s="192"/>
      <c r="N456" s="192"/>
      <c r="AE456" s="110"/>
      <c r="CW456" s="104"/>
      <c r="CX456" s="104"/>
      <c r="CY456" s="104"/>
    </row>
    <row r="457" ht="15.75" customHeight="1">
      <c r="K457" s="192"/>
      <c r="L457" s="192"/>
      <c r="M457" s="192"/>
      <c r="N457" s="192"/>
      <c r="AE457" s="110"/>
      <c r="CW457" s="104"/>
      <c r="CX457" s="104"/>
      <c r="CY457" s="104"/>
    </row>
    <row r="458" ht="15.75" customHeight="1">
      <c r="K458" s="192"/>
      <c r="L458" s="192"/>
      <c r="M458" s="192"/>
      <c r="N458" s="192"/>
      <c r="AE458" s="110"/>
      <c r="CW458" s="104"/>
      <c r="CX458" s="104"/>
      <c r="CY458" s="104"/>
    </row>
  </sheetData>
  <autoFilter ref="$A$1:$EZ$458">
    <sortState ref="A1:EZ458">
      <sortCondition ref="A1:A458"/>
      <sortCondition ref="V1:V458"/>
      <sortCondition ref="DJ1:DJ458"/>
      <sortCondition ref="O1:O458"/>
      <sortCondition ref="J1:J458"/>
      <sortCondition ref="AB1:AB458"/>
      <sortCondition ref="B1:B458"/>
      <sortCondition ref="Y1:Y458"/>
      <sortCondition ref="CZ1:CZ458"/>
      <sortCondition ref="CW1:CW458"/>
      <sortCondition ref="AC1:AC458"/>
      <sortCondition ref="DK1:DK458"/>
    </sortState>
  </autoFilter>
  <printOptions/>
  <pageMargins bottom="0.75" footer="0.0" header="0.0" left="0.7" right="0.7" top="0.75"/>
  <pageSetup orientation="landscape"/>
  <drawing r:id="rId1"/>
</worksheet>
</file>